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ERNAN\OneDrive - SOFTWARE BY DESIGN SA\1 LICITACIONES EN PRESENTACIÓN\3 SBASE CABLEADO ESTRUCTURADO\LICI SBASE CABLEADO 2026\DOC A PRESENTAR\TEMPLATES\"/>
    </mc:Choice>
  </mc:AlternateContent>
  <xr:revisionPtr revIDLastSave="0" documentId="13_ncr:1_{18EF4292-0955-493C-A971-864B5FA9856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rof&amp;LosT" sheetId="1" r:id="rId1"/>
    <sheet name="Estr Costos" sheetId="4" r:id="rId2"/>
    <sheet name="INDICES" sheetId="6" r:id="rId3"/>
    <sheet name="LISTA ORGANISMO" sheetId="7" r:id="rId4"/>
    <sheet name="MATERIALES " sheetId="10" r:id="rId5"/>
    <sheet name="MO" sheetId="11" r:id="rId6"/>
  </sheets>
  <definedNames>
    <definedName name="BILLETE">INDICES!$C$4</definedName>
    <definedName name="COMI1">INDICES!$C$20</definedName>
    <definedName name="COMI2">INDICES!$C$21</definedName>
    <definedName name="INFLACION">INDICES!$C$16</definedName>
    <definedName name="LOG_SEG">INDICES!$C$24</definedName>
    <definedName name="MARGEN">INDICES!$C$3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6" l="1"/>
  <c r="F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J59" i="1"/>
  <c r="J58" i="1"/>
  <c r="J57" i="1"/>
  <c r="J56" i="1"/>
  <c r="J55" i="1"/>
  <c r="J54" i="1"/>
  <c r="J53" i="1"/>
  <c r="J52" i="1"/>
  <c r="J51" i="1"/>
  <c r="J50" i="1"/>
  <c r="J49" i="1"/>
  <c r="J48" i="1"/>
  <c r="J60" i="1" s="1"/>
  <c r="AI45" i="1"/>
  <c r="AJ45" i="1" s="1"/>
  <c r="AJ44" i="1"/>
  <c r="G37" i="1"/>
  <c r="M36" i="1"/>
  <c r="S36" i="1" s="1"/>
  <c r="H36" i="1"/>
  <c r="M35" i="1"/>
  <c r="S35" i="1" s="1"/>
  <c r="H35" i="1"/>
  <c r="M34" i="1"/>
  <c r="S34" i="1" s="1"/>
  <c r="H34" i="1"/>
  <c r="S33" i="1"/>
  <c r="P33" i="1"/>
  <c r="M33" i="1"/>
  <c r="H33" i="1"/>
  <c r="I33" i="1" s="1"/>
  <c r="G32" i="1"/>
  <c r="M31" i="1"/>
  <c r="S31" i="1" s="1"/>
  <c r="H31" i="1"/>
  <c r="M30" i="1"/>
  <c r="S30" i="1" s="1"/>
  <c r="H30" i="1"/>
  <c r="G29" i="1"/>
  <c r="M28" i="1"/>
  <c r="S28" i="1" s="1"/>
  <c r="H28" i="1"/>
  <c r="G27" i="1"/>
  <c r="M26" i="1"/>
  <c r="S26" i="1" s="1"/>
  <c r="H26" i="1"/>
  <c r="M25" i="1"/>
  <c r="S25" i="1" s="1"/>
  <c r="H25" i="1"/>
  <c r="M24" i="1"/>
  <c r="S24" i="1" s="1"/>
  <c r="H24" i="1"/>
  <c r="G23" i="1"/>
  <c r="G22" i="1"/>
  <c r="M16" i="1"/>
  <c r="S16" i="1" s="1"/>
  <c r="H16" i="1"/>
  <c r="M15" i="1"/>
  <c r="S15" i="1" s="1"/>
  <c r="H15" i="1"/>
  <c r="M14" i="1"/>
  <c r="S14" i="1" s="1"/>
  <c r="H14" i="1"/>
  <c r="M13" i="1"/>
  <c r="S13" i="1" s="1"/>
  <c r="H13" i="1"/>
  <c r="M12" i="1"/>
  <c r="S12" i="1" s="1"/>
  <c r="H12" i="1"/>
  <c r="M11" i="1"/>
  <c r="S11" i="1" s="1"/>
  <c r="H11" i="1"/>
  <c r="M5" i="1"/>
  <c r="S5" i="1" s="1"/>
  <c r="H5" i="1"/>
  <c r="M4" i="1"/>
  <c r="S4" i="1" s="1"/>
  <c r="H4" i="1"/>
  <c r="Q21" i="4" l="1"/>
  <c r="O21" i="4"/>
  <c r="E21" i="4" s="1"/>
  <c r="M37" i="1"/>
  <c r="S37" i="1" s="1"/>
  <c r="H37" i="1"/>
  <c r="P37" i="1" s="1"/>
  <c r="I37" i="1"/>
  <c r="I36" i="1"/>
  <c r="P36" i="1"/>
  <c r="P35" i="1"/>
  <c r="I35" i="1"/>
  <c r="I34" i="1"/>
  <c r="P34" i="1"/>
  <c r="K33" i="1"/>
  <c r="R33" i="1" s="1"/>
  <c r="N33" i="1"/>
  <c r="H32" i="1"/>
  <c r="P32" i="1" s="1"/>
  <c r="I32" i="1"/>
  <c r="M32" i="1"/>
  <c r="S32" i="1" s="1"/>
  <c r="I31" i="1"/>
  <c r="P31" i="1"/>
  <c r="I30" i="1"/>
  <c r="P30" i="1"/>
  <c r="M29" i="1"/>
  <c r="S29" i="1" s="1"/>
  <c r="H29" i="1"/>
  <c r="P28" i="1"/>
  <c r="I28" i="1"/>
  <c r="H27" i="1"/>
  <c r="P27" i="1" s="1"/>
  <c r="I27" i="1"/>
  <c r="M27" i="1"/>
  <c r="S27" i="1" s="1"/>
  <c r="P26" i="1"/>
  <c r="I26" i="1"/>
  <c r="P25" i="1"/>
  <c r="I25" i="1"/>
  <c r="I24" i="1"/>
  <c r="P24" i="1"/>
  <c r="M23" i="1"/>
  <c r="S23" i="1" s="1"/>
  <c r="H23" i="1"/>
  <c r="P23" i="1" s="1"/>
  <c r="I23" i="1"/>
  <c r="M22" i="1"/>
  <c r="S22" i="1" s="1"/>
  <c r="H22" i="1"/>
  <c r="P16" i="1"/>
  <c r="I16" i="1"/>
  <c r="P15" i="1"/>
  <c r="I15" i="1"/>
  <c r="P14" i="1"/>
  <c r="I14" i="1"/>
  <c r="I13" i="1"/>
  <c r="P13" i="1"/>
  <c r="P12" i="1"/>
  <c r="I12" i="1"/>
  <c r="P11" i="1"/>
  <c r="I11" i="1"/>
  <c r="P5" i="1"/>
  <c r="I5" i="1"/>
  <c r="I4" i="1"/>
  <c r="P4" i="1"/>
  <c r="P21" i="4" l="1"/>
  <c r="G21" i="4" s="1"/>
  <c r="N37" i="1"/>
  <c r="K37" i="1"/>
  <c r="R37" i="1" s="1"/>
  <c r="K36" i="1"/>
  <c r="R36" i="1" s="1"/>
  <c r="N36" i="1"/>
  <c r="N35" i="1"/>
  <c r="K35" i="1"/>
  <c r="R35" i="1" s="1"/>
  <c r="N34" i="1"/>
  <c r="K34" i="1"/>
  <c r="R34" i="1" s="1"/>
  <c r="O33" i="1"/>
  <c r="V33" i="1"/>
  <c r="Q33" i="1"/>
  <c r="T33" i="1" s="1"/>
  <c r="U33" i="1" s="1"/>
  <c r="K32" i="1"/>
  <c r="R32" i="1" s="1"/>
  <c r="N32" i="1"/>
  <c r="K31" i="1"/>
  <c r="R31" i="1" s="1"/>
  <c r="N31" i="1"/>
  <c r="K30" i="1"/>
  <c r="R30" i="1" s="1"/>
  <c r="N30" i="1"/>
  <c r="K28" i="1"/>
  <c r="R28" i="1" s="1"/>
  <c r="N28" i="1"/>
  <c r="K27" i="1"/>
  <c r="R27" i="1" s="1"/>
  <c r="N27" i="1"/>
  <c r="K26" i="1"/>
  <c r="R26" i="1" s="1"/>
  <c r="N26" i="1"/>
  <c r="K25" i="1"/>
  <c r="R25" i="1" s="1"/>
  <c r="N25" i="1"/>
  <c r="K24" i="1"/>
  <c r="R24" i="1" s="1"/>
  <c r="N24" i="1"/>
  <c r="K23" i="1"/>
  <c r="R23" i="1" s="1"/>
  <c r="N23" i="1"/>
  <c r="K16" i="1"/>
  <c r="R16" i="1" s="1"/>
  <c r="N16" i="1"/>
  <c r="K15" i="1"/>
  <c r="R15" i="1" s="1"/>
  <c r="N15" i="1"/>
  <c r="K14" i="1"/>
  <c r="R14" i="1" s="1"/>
  <c r="N14" i="1"/>
  <c r="K13" i="1"/>
  <c r="R13" i="1" s="1"/>
  <c r="N13" i="1"/>
  <c r="N12" i="1"/>
  <c r="K12" i="1"/>
  <c r="R12" i="1" s="1"/>
  <c r="N11" i="1"/>
  <c r="K11" i="1"/>
  <c r="R11" i="1" s="1"/>
  <c r="K5" i="1"/>
  <c r="R5" i="1" s="1"/>
  <c r="N5" i="1"/>
  <c r="N4" i="1"/>
  <c r="K4" i="1"/>
  <c r="R4" i="1" s="1"/>
  <c r="P29" i="1"/>
  <c r="I29" i="1"/>
  <c r="P22" i="1"/>
  <c r="I22" i="1"/>
  <c r="J21" i="4" l="1"/>
  <c r="H21" i="4"/>
  <c r="I21" i="4"/>
  <c r="Q37" i="1"/>
  <c r="T37" i="1" s="1"/>
  <c r="U37" i="1" s="1"/>
  <c r="O37" i="1"/>
  <c r="V37" i="1"/>
  <c r="Q36" i="1"/>
  <c r="T36" i="1" s="1"/>
  <c r="U36" i="1" s="1"/>
  <c r="O36" i="1"/>
  <c r="V36" i="1"/>
  <c r="Q35" i="1"/>
  <c r="T35" i="1" s="1"/>
  <c r="U35" i="1" s="1"/>
  <c r="V35" i="1"/>
  <c r="O35" i="1"/>
  <c r="O34" i="1"/>
  <c r="V34" i="1"/>
  <c r="Q34" i="1"/>
  <c r="T34" i="1" s="1"/>
  <c r="U34" i="1" s="1"/>
  <c r="X33" i="1"/>
  <c r="AD33" i="1"/>
  <c r="O32" i="1"/>
  <c r="Q32" i="1"/>
  <c r="T32" i="1" s="1"/>
  <c r="U32" i="1" s="1"/>
  <c r="V32" i="1"/>
  <c r="O31" i="1"/>
  <c r="Q31" i="1"/>
  <c r="T31" i="1" s="1"/>
  <c r="U31" i="1" s="1"/>
  <c r="V31" i="1"/>
  <c r="O30" i="1"/>
  <c r="Q30" i="1"/>
  <c r="T30" i="1" s="1"/>
  <c r="U30" i="1" s="1"/>
  <c r="V30" i="1"/>
  <c r="O28" i="1"/>
  <c r="Q28" i="1"/>
  <c r="T28" i="1" s="1"/>
  <c r="U28" i="1" s="1"/>
  <c r="V28" i="1"/>
  <c r="O27" i="1"/>
  <c r="Q27" i="1"/>
  <c r="T27" i="1" s="1"/>
  <c r="U27" i="1" s="1"/>
  <c r="V27" i="1"/>
  <c r="O26" i="1"/>
  <c r="Q26" i="1"/>
  <c r="T26" i="1" s="1"/>
  <c r="U26" i="1" s="1"/>
  <c r="V26" i="1"/>
  <c r="O25" i="1"/>
  <c r="Q25" i="1"/>
  <c r="T25" i="1" s="1"/>
  <c r="U25" i="1" s="1"/>
  <c r="V25" i="1"/>
  <c r="O24" i="1"/>
  <c r="Q24" i="1"/>
  <c r="T24" i="1" s="1"/>
  <c r="U24" i="1" s="1"/>
  <c r="V24" i="1"/>
  <c r="O23" i="1"/>
  <c r="Q23" i="1"/>
  <c r="T23" i="1" s="1"/>
  <c r="U23" i="1" s="1"/>
  <c r="V23" i="1"/>
  <c r="O16" i="1"/>
  <c r="Q16" i="1"/>
  <c r="T16" i="1" s="1"/>
  <c r="U16" i="1" s="1"/>
  <c r="V16" i="1"/>
  <c r="O15" i="1"/>
  <c r="Q15" i="1"/>
  <c r="T15" i="1" s="1"/>
  <c r="U15" i="1" s="1"/>
  <c r="V15" i="1"/>
  <c r="O14" i="1"/>
  <c r="Q14" i="1"/>
  <c r="T14" i="1" s="1"/>
  <c r="U14" i="1" s="1"/>
  <c r="V14" i="1"/>
  <c r="O13" i="1"/>
  <c r="Q13" i="1"/>
  <c r="T13" i="1" s="1"/>
  <c r="U13" i="1" s="1"/>
  <c r="V13" i="1"/>
  <c r="O12" i="1"/>
  <c r="Q12" i="1"/>
  <c r="T12" i="1" s="1"/>
  <c r="U12" i="1" s="1"/>
  <c r="V12" i="1"/>
  <c r="O11" i="1"/>
  <c r="Q11" i="1"/>
  <c r="T11" i="1" s="1"/>
  <c r="V11" i="1"/>
  <c r="V5" i="1"/>
  <c r="O5" i="1"/>
  <c r="Q5" i="1"/>
  <c r="T5" i="1" s="1"/>
  <c r="U5" i="1" s="1"/>
  <c r="V4" i="1"/>
  <c r="O4" i="1"/>
  <c r="Q4" i="1"/>
  <c r="T4" i="1" s="1"/>
  <c r="N29" i="1"/>
  <c r="K29" i="1"/>
  <c r="R29" i="1" s="1"/>
  <c r="N22" i="1"/>
  <c r="K22" i="1"/>
  <c r="R22" i="1" s="1"/>
  <c r="AD37" i="1" l="1"/>
  <c r="X37" i="1"/>
  <c r="AD36" i="1"/>
  <c r="X36" i="1"/>
  <c r="X35" i="1"/>
  <c r="AD35" i="1"/>
  <c r="AD34" i="1"/>
  <c r="X34" i="1"/>
  <c r="W33" i="1"/>
  <c r="AE33" i="1" s="1"/>
  <c r="Z33" i="1"/>
  <c r="X32" i="1"/>
  <c r="AD32" i="1"/>
  <c r="X31" i="1"/>
  <c r="AD31" i="1"/>
  <c r="X30" i="1"/>
  <c r="AD30" i="1"/>
  <c r="X28" i="1"/>
  <c r="AD28" i="1"/>
  <c r="X27" i="1"/>
  <c r="AD27" i="1"/>
  <c r="X26" i="1"/>
  <c r="AD26" i="1"/>
  <c r="X25" i="1"/>
  <c r="AD25" i="1"/>
  <c r="X24" i="1"/>
  <c r="AD24" i="1"/>
  <c r="X23" i="1"/>
  <c r="AD23" i="1"/>
  <c r="X16" i="1"/>
  <c r="AD16" i="1"/>
  <c r="X15" i="1"/>
  <c r="AD15" i="1"/>
  <c r="X14" i="1"/>
  <c r="AD14" i="1"/>
  <c r="X13" i="1"/>
  <c r="AD13" i="1"/>
  <c r="X12" i="1"/>
  <c r="AD12" i="1"/>
  <c r="U11" i="1"/>
  <c r="U17" i="1" s="1"/>
  <c r="T17" i="1"/>
  <c r="AD11" i="1"/>
  <c r="X11" i="1"/>
  <c r="X5" i="1"/>
  <c r="AD5" i="1"/>
  <c r="X4" i="1"/>
  <c r="AD4" i="1"/>
  <c r="T6" i="1"/>
  <c r="U4" i="1"/>
  <c r="U6" i="1" s="1"/>
  <c r="O29" i="1"/>
  <c r="Q29" i="1"/>
  <c r="T29" i="1" s="1"/>
  <c r="U29" i="1" s="1"/>
  <c r="V29" i="1"/>
  <c r="O22" i="1"/>
  <c r="Q22" i="1"/>
  <c r="T22" i="1" s="1"/>
  <c r="V22" i="1"/>
  <c r="K21" i="4"/>
  <c r="W37" i="1" l="1"/>
  <c r="AE37" i="1" s="1"/>
  <c r="Z37" i="1"/>
  <c r="Z36" i="1"/>
  <c r="W36" i="1"/>
  <c r="AE36" i="1" s="1"/>
  <c r="Z35" i="1"/>
  <c r="W35" i="1"/>
  <c r="AE35" i="1" s="1"/>
  <c r="Z34" i="1"/>
  <c r="W34" i="1"/>
  <c r="AE34" i="1" s="1"/>
  <c r="AG33" i="1"/>
  <c r="AA33" i="1"/>
  <c r="AH33" i="1" s="1"/>
  <c r="Y33" i="1"/>
  <c r="AF33" i="1" s="1"/>
  <c r="AB33" i="1"/>
  <c r="AC33" i="1" s="1"/>
  <c r="Z32" i="1"/>
  <c r="W32" i="1"/>
  <c r="AE32" i="1" s="1"/>
  <c r="Z31" i="1"/>
  <c r="W31" i="1"/>
  <c r="AE31" i="1" s="1"/>
  <c r="Z30" i="1"/>
  <c r="W30" i="1"/>
  <c r="AE30" i="1" s="1"/>
  <c r="Z28" i="1"/>
  <c r="W28" i="1"/>
  <c r="AE28" i="1" s="1"/>
  <c r="Z27" i="1"/>
  <c r="W27" i="1"/>
  <c r="AE27" i="1" s="1"/>
  <c r="Z26" i="1"/>
  <c r="W26" i="1"/>
  <c r="AE26" i="1" s="1"/>
  <c r="Z25" i="1"/>
  <c r="W25" i="1"/>
  <c r="AE25" i="1" s="1"/>
  <c r="Z24" i="1"/>
  <c r="W24" i="1"/>
  <c r="AE24" i="1" s="1"/>
  <c r="Z23" i="1"/>
  <c r="W23" i="1"/>
  <c r="AE23" i="1" s="1"/>
  <c r="W16" i="1"/>
  <c r="AE16" i="1" s="1"/>
  <c r="Z16" i="1"/>
  <c r="Z15" i="1"/>
  <c r="W15" i="1"/>
  <c r="AE15" i="1" s="1"/>
  <c r="Z14" i="1"/>
  <c r="W14" i="1"/>
  <c r="AE14" i="1" s="1"/>
  <c r="Z13" i="1"/>
  <c r="W13" i="1"/>
  <c r="AE13" i="1" s="1"/>
  <c r="Z12" i="1"/>
  <c r="W12" i="1"/>
  <c r="AE12" i="1" s="1"/>
  <c r="W11" i="1"/>
  <c r="AE11" i="1" s="1"/>
  <c r="Z11" i="1"/>
  <c r="W5" i="1"/>
  <c r="AE5" i="1" s="1"/>
  <c r="Z5" i="1"/>
  <c r="Z4" i="1"/>
  <c r="W4" i="1"/>
  <c r="AE4" i="1" s="1"/>
  <c r="X29" i="1"/>
  <c r="AD29" i="1"/>
  <c r="U22" i="1"/>
  <c r="U38" i="1" s="1"/>
  <c r="U41" i="1" s="1"/>
  <c r="T38" i="1"/>
  <c r="T41" i="1" s="1"/>
  <c r="X22" i="1"/>
  <c r="AD22" i="1"/>
  <c r="L21" i="4"/>
  <c r="M21" i="4"/>
  <c r="R21" i="4" s="1"/>
  <c r="AG37" i="1" l="1"/>
  <c r="Y37" i="1"/>
  <c r="AF37" i="1" s="1"/>
  <c r="AA37" i="1"/>
  <c r="AG36" i="1"/>
  <c r="AA36" i="1"/>
  <c r="Y36" i="1"/>
  <c r="AF36" i="1" s="1"/>
  <c r="Y35" i="1"/>
  <c r="AF35" i="1" s="1"/>
  <c r="AA35" i="1"/>
  <c r="AG35" i="1"/>
  <c r="AI35" i="1" s="1"/>
  <c r="AJ35" i="1" s="1"/>
  <c r="Y34" i="1"/>
  <c r="AF34" i="1" s="1"/>
  <c r="AA34" i="1"/>
  <c r="AG34" i="1"/>
  <c r="AI34" i="1" s="1"/>
  <c r="AJ34" i="1" s="1"/>
  <c r="AK33" i="1"/>
  <c r="AA32" i="1"/>
  <c r="AH32" i="1" s="1"/>
  <c r="AB32" i="1"/>
  <c r="AC32" i="1" s="1"/>
  <c r="AG32" i="1"/>
  <c r="AI32" i="1" s="1"/>
  <c r="AJ32" i="1" s="1"/>
  <c r="Y32" i="1"/>
  <c r="AF32" i="1" s="1"/>
  <c r="AA31" i="1"/>
  <c r="AH31" i="1" s="1"/>
  <c r="AB31" i="1"/>
  <c r="AC31" i="1" s="1"/>
  <c r="AG31" i="1"/>
  <c r="AI31" i="1" s="1"/>
  <c r="AJ31" i="1" s="1"/>
  <c r="Y31" i="1"/>
  <c r="AF31" i="1" s="1"/>
  <c r="AA30" i="1"/>
  <c r="AG30" i="1"/>
  <c r="AI30" i="1" s="1"/>
  <c r="AJ30" i="1" s="1"/>
  <c r="Y30" i="1"/>
  <c r="AF30" i="1" s="1"/>
  <c r="AA28" i="1"/>
  <c r="AH28" i="1" s="1"/>
  <c r="AB28" i="1"/>
  <c r="AC28" i="1" s="1"/>
  <c r="AG28" i="1"/>
  <c r="AI28" i="1" s="1"/>
  <c r="AJ28" i="1" s="1"/>
  <c r="Y28" i="1"/>
  <c r="AF28" i="1" s="1"/>
  <c r="AA27" i="1"/>
  <c r="AG27" i="1"/>
  <c r="AI27" i="1" s="1"/>
  <c r="AJ27" i="1" s="1"/>
  <c r="Y27" i="1"/>
  <c r="AF27" i="1" s="1"/>
  <c r="AA26" i="1"/>
  <c r="AH26" i="1" s="1"/>
  <c r="AB26" i="1"/>
  <c r="AC26" i="1" s="1"/>
  <c r="AG26" i="1"/>
  <c r="AI26" i="1" s="1"/>
  <c r="AJ26" i="1" s="1"/>
  <c r="Y26" i="1"/>
  <c r="AF26" i="1" s="1"/>
  <c r="AA25" i="1"/>
  <c r="AH25" i="1" s="1"/>
  <c r="AB25" i="1"/>
  <c r="AC25" i="1" s="1"/>
  <c r="AG25" i="1"/>
  <c r="AI25" i="1" s="1"/>
  <c r="AJ25" i="1" s="1"/>
  <c r="Y25" i="1"/>
  <c r="AF25" i="1" s="1"/>
  <c r="AA24" i="1"/>
  <c r="AH24" i="1" s="1"/>
  <c r="AB24" i="1"/>
  <c r="AC24" i="1" s="1"/>
  <c r="AG24" i="1"/>
  <c r="AI24" i="1" s="1"/>
  <c r="AJ24" i="1" s="1"/>
  <c r="Y24" i="1"/>
  <c r="AF24" i="1" s="1"/>
  <c r="AA23" i="1"/>
  <c r="AH23" i="1" s="1"/>
  <c r="AB23" i="1"/>
  <c r="AC23" i="1" s="1"/>
  <c r="AG23" i="1"/>
  <c r="AI23" i="1" s="1"/>
  <c r="AJ23" i="1" s="1"/>
  <c r="Y23" i="1"/>
  <c r="AF23" i="1" s="1"/>
  <c r="AG16" i="1"/>
  <c r="Y16" i="1"/>
  <c r="AF16" i="1" s="1"/>
  <c r="AA16" i="1"/>
  <c r="AB15" i="1"/>
  <c r="AC15" i="1" s="1"/>
  <c r="AG15" i="1"/>
  <c r="AI15" i="1" s="1"/>
  <c r="AJ15" i="1" s="1"/>
  <c r="Y15" i="1"/>
  <c r="AF15" i="1" s="1"/>
  <c r="AA15" i="1"/>
  <c r="AH15" i="1" s="1"/>
  <c r="AA14" i="1"/>
  <c r="AH14" i="1" s="1"/>
  <c r="AB14" i="1"/>
  <c r="AC14" i="1" s="1"/>
  <c r="AG14" i="1"/>
  <c r="AI14" i="1" s="1"/>
  <c r="AJ14" i="1" s="1"/>
  <c r="Y14" i="1"/>
  <c r="AF14" i="1" s="1"/>
  <c r="AA13" i="1"/>
  <c r="AH13" i="1" s="1"/>
  <c r="AB13" i="1"/>
  <c r="AC13" i="1" s="1"/>
  <c r="AG13" i="1"/>
  <c r="AI13" i="1" s="1"/>
  <c r="AJ13" i="1" s="1"/>
  <c r="Y13" i="1"/>
  <c r="AF13" i="1" s="1"/>
  <c r="AA12" i="1"/>
  <c r="AG12" i="1"/>
  <c r="Y12" i="1"/>
  <c r="AF12" i="1" s="1"/>
  <c r="Y11" i="1"/>
  <c r="AF11" i="1" s="1"/>
  <c r="AA11" i="1"/>
  <c r="AH11" i="1" s="1"/>
  <c r="AG11" i="1"/>
  <c r="AB11" i="1"/>
  <c r="AC11" i="1" s="1"/>
  <c r="AA5" i="1"/>
  <c r="AG5" i="1"/>
  <c r="Y5" i="1"/>
  <c r="AF5" i="1" s="1"/>
  <c r="AG4" i="1"/>
  <c r="Y4" i="1"/>
  <c r="AF4" i="1" s="1"/>
  <c r="AA4" i="1"/>
  <c r="Z29" i="1"/>
  <c r="W29" i="1"/>
  <c r="AE29" i="1" s="1"/>
  <c r="Z22" i="1"/>
  <c r="W22" i="1"/>
  <c r="AE22" i="1" s="1"/>
  <c r="AI33" i="1"/>
  <c r="AJ33" i="1" s="1"/>
  <c r="S21" i="4"/>
  <c r="T21" i="4"/>
  <c r="U21" i="4" s="1"/>
  <c r="AK32" i="1" l="1"/>
  <c r="AK31" i="1"/>
  <c r="AK28" i="1"/>
  <c r="AK26" i="1"/>
  <c r="AK25" i="1"/>
  <c r="AK24" i="1"/>
  <c r="AK23" i="1"/>
  <c r="F14" i="4"/>
  <c r="AI11" i="1"/>
  <c r="AG17" i="1"/>
  <c r="F12" i="4"/>
  <c r="AI4" i="1"/>
  <c r="AG6" i="1"/>
  <c r="AA29" i="1"/>
  <c r="AG29" i="1"/>
  <c r="AI29" i="1" s="1"/>
  <c r="AJ29" i="1" s="1"/>
  <c r="Y29" i="1"/>
  <c r="AF29" i="1" s="1"/>
  <c r="AA22" i="1"/>
  <c r="AG22" i="1"/>
  <c r="Y22" i="1"/>
  <c r="AF22" i="1" s="1"/>
  <c r="AH37" i="1"/>
  <c r="AI37" i="1" s="1"/>
  <c r="AJ37" i="1" s="1"/>
  <c r="AB37" i="1"/>
  <c r="AC37" i="1" s="1"/>
  <c r="AH36" i="1"/>
  <c r="AI36" i="1" s="1"/>
  <c r="AJ36" i="1" s="1"/>
  <c r="AB36" i="1"/>
  <c r="AC36" i="1" s="1"/>
  <c r="AH35" i="1"/>
  <c r="AB35" i="1"/>
  <c r="AC35" i="1" s="1"/>
  <c r="AH34" i="1"/>
  <c r="AB34" i="1"/>
  <c r="AC34" i="1" s="1"/>
  <c r="AH30" i="1"/>
  <c r="AB30" i="1"/>
  <c r="AC30" i="1" s="1"/>
  <c r="AH27" i="1"/>
  <c r="AB27" i="1"/>
  <c r="AC27" i="1" s="1"/>
  <c r="AH16" i="1"/>
  <c r="AI16" i="1" s="1"/>
  <c r="AJ16" i="1" s="1"/>
  <c r="AB16" i="1"/>
  <c r="AC16" i="1" s="1"/>
  <c r="AH12" i="1"/>
  <c r="AB12" i="1"/>
  <c r="AC12" i="1" s="1"/>
  <c r="AH5" i="1"/>
  <c r="AI5" i="1" s="1"/>
  <c r="AJ5" i="1" s="1"/>
  <c r="AB5" i="1"/>
  <c r="AC5" i="1" s="1"/>
  <c r="AH4" i="1"/>
  <c r="AH6" i="1" s="1"/>
  <c r="AB4" i="1"/>
  <c r="AC4" i="1" s="1"/>
  <c r="F17" i="4" l="1"/>
  <c r="F10" i="4"/>
  <c r="F9" i="4"/>
  <c r="F8" i="4"/>
  <c r="F7" i="4"/>
  <c r="O14" i="4"/>
  <c r="Q14" i="4"/>
  <c r="E14" i="4"/>
  <c r="AJ11" i="1"/>
  <c r="O12" i="4"/>
  <c r="E12" i="4" s="1"/>
  <c r="Q12" i="4"/>
  <c r="AJ4" i="1"/>
  <c r="AJ6" i="1" s="1"/>
  <c r="AI6" i="1"/>
  <c r="AI22" i="1"/>
  <c r="AG38" i="1"/>
  <c r="AG41" i="1" s="1"/>
  <c r="AG42" i="1" s="1"/>
  <c r="F15" i="4"/>
  <c r="AK37" i="1"/>
  <c r="AK36" i="1"/>
  <c r="AK35" i="1"/>
  <c r="AK34" i="1"/>
  <c r="AK30" i="1"/>
  <c r="AK27" i="1"/>
  <c r="F16" i="4"/>
  <c r="AH17" i="1"/>
  <c r="AH41" i="1" s="1"/>
  <c r="AH42" i="1" s="1"/>
  <c r="AI12" i="1"/>
  <c r="F13" i="4"/>
  <c r="AH29" i="1"/>
  <c r="AB29" i="1"/>
  <c r="AC29" i="1" s="1"/>
  <c r="AH22" i="1"/>
  <c r="AH38" i="1" s="1"/>
  <c r="AB22" i="1"/>
  <c r="AC22" i="1" s="1"/>
  <c r="O17" i="4" l="1"/>
  <c r="Q17" i="4"/>
  <c r="E17" i="4"/>
  <c r="O10" i="4"/>
  <c r="Q10" i="4"/>
  <c r="E10" i="4"/>
  <c r="O9" i="4"/>
  <c r="E9" i="4" s="1"/>
  <c r="Q9" i="4"/>
  <c r="Q8" i="4"/>
  <c r="O8" i="4"/>
  <c r="E8" i="4" s="1"/>
  <c r="O7" i="4"/>
  <c r="E7" i="4" s="1"/>
  <c r="Q7" i="4"/>
  <c r="P14" i="4"/>
  <c r="G14" i="4" s="1"/>
  <c r="P12" i="4"/>
  <c r="G12" i="4" s="1"/>
  <c r="AJ22" i="1"/>
  <c r="AJ38" i="1" s="1"/>
  <c r="AJ41" i="1" s="1"/>
  <c r="AI38" i="1"/>
  <c r="O15" i="4"/>
  <c r="Q15" i="4"/>
  <c r="E15" i="4"/>
  <c r="F19" i="4"/>
  <c r="F11" i="4"/>
  <c r="O16" i="4"/>
  <c r="E16" i="4" s="1"/>
  <c r="Q16" i="4"/>
  <c r="O13" i="4"/>
  <c r="Q13" i="4"/>
  <c r="E13" i="4"/>
  <c r="AK29" i="1"/>
  <c r="AK22" i="1"/>
  <c r="AK38" i="1" s="1"/>
  <c r="AJ42" i="1"/>
  <c r="AJ12" i="1"/>
  <c r="AJ17" i="1" s="1"/>
  <c r="AI17" i="1"/>
  <c r="P17" i="4" l="1"/>
  <c r="G17" i="4" s="1"/>
  <c r="P10" i="4"/>
  <c r="G10" i="4" s="1"/>
  <c r="P9" i="4"/>
  <c r="G9" i="4" s="1"/>
  <c r="P8" i="4"/>
  <c r="G8" i="4" s="1"/>
  <c r="P7" i="4"/>
  <c r="G7" i="4" s="1"/>
  <c r="H14" i="4"/>
  <c r="K14" i="4" s="1"/>
  <c r="M14" i="4" s="1"/>
  <c r="R14" i="4" s="1"/>
  <c r="S14" i="4" s="1"/>
  <c r="I14" i="4"/>
  <c r="J14" i="4"/>
  <c r="H12" i="4"/>
  <c r="I12" i="4"/>
  <c r="J12" i="4"/>
  <c r="F20" i="4"/>
  <c r="AI42" i="1"/>
  <c r="P15" i="4"/>
  <c r="G15" i="4" s="1"/>
  <c r="O19" i="4"/>
  <c r="E19" i="4" s="1"/>
  <c r="Q19" i="4"/>
  <c r="O11" i="4"/>
  <c r="E11" i="4" s="1"/>
  <c r="Q11" i="4"/>
  <c r="P16" i="4"/>
  <c r="G16" i="4" s="1"/>
  <c r="P13" i="4"/>
  <c r="G13" i="4" s="1"/>
  <c r="F18" i="4"/>
  <c r="F6" i="4"/>
  <c r="AI41" i="1"/>
  <c r="H17" i="4" l="1"/>
  <c r="I17" i="4"/>
  <c r="J17" i="4"/>
  <c r="H10" i="4"/>
  <c r="I10" i="4"/>
  <c r="J10" i="4"/>
  <c r="H9" i="4"/>
  <c r="K9" i="4" s="1"/>
  <c r="M9" i="4" s="1"/>
  <c r="R9" i="4" s="1"/>
  <c r="S9" i="4" s="1"/>
  <c r="I9" i="4"/>
  <c r="J9" i="4"/>
  <c r="J8" i="4"/>
  <c r="H8" i="4"/>
  <c r="I8" i="4"/>
  <c r="H7" i="4"/>
  <c r="J7" i="4"/>
  <c r="I7" i="4"/>
  <c r="T14" i="4"/>
  <c r="U14" i="4" s="1"/>
  <c r="L14" i="4"/>
  <c r="Q20" i="4"/>
  <c r="O20" i="4"/>
  <c r="E20" i="4" s="1"/>
  <c r="H15" i="4"/>
  <c r="I15" i="4"/>
  <c r="J15" i="4"/>
  <c r="P19" i="4"/>
  <c r="G19" i="4" s="1"/>
  <c r="P11" i="4"/>
  <c r="G11" i="4" s="1"/>
  <c r="H16" i="4"/>
  <c r="I16" i="4"/>
  <c r="J16" i="4"/>
  <c r="H13" i="4"/>
  <c r="I13" i="4"/>
  <c r="J13" i="4"/>
  <c r="O18" i="4"/>
  <c r="Q18" i="4"/>
  <c r="E18" i="4"/>
  <c r="O6" i="4"/>
  <c r="Q6" i="4"/>
  <c r="E6" i="4"/>
  <c r="K12" i="4"/>
  <c r="T9" i="4" l="1"/>
  <c r="U9" i="4" s="1"/>
  <c r="L9" i="4"/>
  <c r="P20" i="4"/>
  <c r="G20" i="4" s="1"/>
  <c r="I19" i="4"/>
  <c r="H19" i="4"/>
  <c r="K19" i="4" s="1"/>
  <c r="M19" i="4" s="1"/>
  <c r="R19" i="4" s="1"/>
  <c r="S19" i="4" s="1"/>
  <c r="J19" i="4"/>
  <c r="H11" i="4"/>
  <c r="I11" i="4"/>
  <c r="J11" i="4"/>
  <c r="P18" i="4"/>
  <c r="G18" i="4" s="1"/>
  <c r="P6" i="4"/>
  <c r="G6" i="4" s="1"/>
  <c r="L12" i="4"/>
  <c r="M12" i="4"/>
  <c r="R12" i="4" s="1"/>
  <c r="K17" i="4"/>
  <c r="K10" i="4"/>
  <c r="K8" i="4"/>
  <c r="K7" i="4"/>
  <c r="K15" i="4"/>
  <c r="K16" i="4"/>
  <c r="K13" i="4"/>
  <c r="I20" i="4" l="1"/>
  <c r="J20" i="4"/>
  <c r="H20" i="4"/>
  <c r="T19" i="4"/>
  <c r="U19" i="4" s="1"/>
  <c r="L19" i="4"/>
  <c r="H18" i="4"/>
  <c r="J18" i="4"/>
  <c r="I18" i="4"/>
  <c r="H6" i="4"/>
  <c r="I6" i="4"/>
  <c r="J6" i="4"/>
  <c r="L17" i="4"/>
  <c r="M17" i="4"/>
  <c r="R17" i="4" s="1"/>
  <c r="L10" i="4"/>
  <c r="M10" i="4"/>
  <c r="R10" i="4" s="1"/>
  <c r="L8" i="4"/>
  <c r="M8" i="4"/>
  <c r="R8" i="4" s="1"/>
  <c r="L7" i="4"/>
  <c r="M7" i="4"/>
  <c r="R7" i="4" s="1"/>
  <c r="L15" i="4"/>
  <c r="M15" i="4"/>
  <c r="R15" i="4" s="1"/>
  <c r="L16" i="4"/>
  <c r="M16" i="4"/>
  <c r="R16" i="4" s="1"/>
  <c r="L13" i="4"/>
  <c r="M13" i="4"/>
  <c r="R13" i="4" s="1"/>
  <c r="K11" i="4"/>
  <c r="S12" i="4"/>
  <c r="T12" i="4"/>
  <c r="U12" i="4" s="1"/>
  <c r="L11" i="4" l="1"/>
  <c r="M11" i="4"/>
  <c r="R11" i="4" s="1"/>
  <c r="K20" i="4"/>
  <c r="K18" i="4"/>
  <c r="K6" i="4"/>
  <c r="S17" i="4"/>
  <c r="T17" i="4"/>
  <c r="U17" i="4" s="1"/>
  <c r="S10" i="4"/>
  <c r="T10" i="4"/>
  <c r="U10" i="4" s="1"/>
  <c r="S8" i="4"/>
  <c r="T8" i="4"/>
  <c r="U8" i="4" s="1"/>
  <c r="S7" i="4"/>
  <c r="T7" i="4"/>
  <c r="U7" i="4" s="1"/>
  <c r="S15" i="4"/>
  <c r="T15" i="4"/>
  <c r="U15" i="4" s="1"/>
  <c r="S16" i="4"/>
  <c r="T16" i="4"/>
  <c r="U16" i="4" s="1"/>
  <c r="S13" i="4"/>
  <c r="T13" i="4"/>
  <c r="U13" i="4" s="1"/>
  <c r="L20" i="4" l="1"/>
  <c r="M20" i="4"/>
  <c r="R20" i="4" s="1"/>
  <c r="L18" i="4"/>
  <c r="M18" i="4"/>
  <c r="R18" i="4" s="1"/>
  <c r="L6" i="4"/>
  <c r="M6" i="4"/>
  <c r="R6" i="4" s="1"/>
  <c r="S11" i="4"/>
  <c r="T11" i="4"/>
  <c r="U11" i="4" s="1"/>
  <c r="S6" i="4" l="1"/>
  <c r="T6" i="4"/>
  <c r="U6" i="4" s="1"/>
  <c r="S20" i="4"/>
  <c r="T20" i="4"/>
  <c r="U20" i="4" s="1"/>
  <c r="S18" i="4"/>
  <c r="T18" i="4"/>
  <c r="U18" i="4" s="1"/>
</calcChain>
</file>

<file path=xl/sharedStrings.xml><?xml version="1.0" encoding="utf-8"?>
<sst xmlns="http://schemas.openxmlformats.org/spreadsheetml/2006/main" count="316" uniqueCount="187">
  <si>
    <t>COMPRA COSTOS ---- COMPRA COSTOS ----- COMPRA COSTOS---- COMPRA COSTOS COMPRA COSTOS ---- COMPRA COSTOS ----- COMPRA COSTOS---- COMPRA COSTOS</t>
  </si>
  <si>
    <t>PRECIO DE VENTA ----- PRECIO DE VENTA ------ PRECIO DE VENTA----- PRECIO DE VENTA---- PRECIO DE VENTA ------- PRECIO DE VENTA ----- PRECIO DE VENTA ------ PRECIO DE VENTA----- PRECIO DE VENTA---- PRECIO DE VENTA</t>
  </si>
  <si>
    <t>MANO DE OB RA</t>
  </si>
  <si>
    <t>UNITARIO COSTO</t>
  </si>
  <si>
    <t>TOTAL COSTO</t>
  </si>
  <si>
    <t>VENTA UNITARIO</t>
  </si>
  <si>
    <t>VENTA TOTAL</t>
  </si>
  <si>
    <t>item</t>
  </si>
  <si>
    <t>UN</t>
  </si>
  <si>
    <t>CODIGO</t>
  </si>
  <si>
    <t>DESCRIPCIÓN</t>
  </si>
  <si>
    <t>PROV</t>
  </si>
  <si>
    <t>CANT</t>
  </si>
  <si>
    <t>COSTO INCIAL</t>
  </si>
  <si>
    <t>LOG Y SEG UNIT</t>
  </si>
  <si>
    <t>COSTO  BASE UNIT + envío USD</t>
  </si>
  <si>
    <t>AlicIVA</t>
  </si>
  <si>
    <t>IVA</t>
  </si>
  <si>
    <t>% IMP INTERNO</t>
  </si>
  <si>
    <t>IMPUESTOS INTERNOS</t>
  </si>
  <si>
    <t>COSTO BASE S/IVA</t>
  </si>
  <si>
    <t>COSTO BASE + IVA UNIT</t>
  </si>
  <si>
    <t>LOG Y SEG TOTAL</t>
  </si>
  <si>
    <t>COSTO BASE  TOT S/ IVA</t>
  </si>
  <si>
    <t>IVA TOTAL</t>
  </si>
  <si>
    <t xml:space="preserve">IMP INTERNOS TOTAL </t>
  </si>
  <si>
    <t>COSTO TOT  S/ IVA</t>
  </si>
  <si>
    <t>COSTO TOT  C/ IVA + IMP</t>
  </si>
  <si>
    <t>NETO UNITARIO</t>
  </si>
  <si>
    <t>COMISIONES</t>
  </si>
  <si>
    <t>NETO + COMISIONES UNITARIO</t>
  </si>
  <si>
    <t>COSTO FINANCIERO UNITARIO</t>
  </si>
  <si>
    <t>UNIT + COSTO FINAN. (UNIT S/IVA)</t>
  </si>
  <si>
    <t>IVA unitario</t>
  </si>
  <si>
    <t>UNIT C/IVA usd</t>
  </si>
  <si>
    <t>UNIT C/IVA pesos</t>
  </si>
  <si>
    <t>NETO TOTAL</t>
  </si>
  <si>
    <t>COMISIONES TOTAL</t>
  </si>
  <si>
    <t>COSTO FINANCIERO TOTAL</t>
  </si>
  <si>
    <t xml:space="preserve"> TOTAL SIN IVA CON COSTO FINANCIERO</t>
  </si>
  <si>
    <t>TOTAL C/ IVA</t>
  </si>
  <si>
    <t>TOTAL C/IVA PESOS</t>
  </si>
  <si>
    <t>SBD1</t>
  </si>
  <si>
    <t>MANO DE OBRA</t>
  </si>
  <si>
    <t>LEO</t>
  </si>
  <si>
    <t>SBD2</t>
  </si>
  <si>
    <t>CONFIGURACIÓN RED Y PUESTA A PUNTO</t>
  </si>
  <si>
    <t>Clickit</t>
  </si>
  <si>
    <t>EQUIPOS</t>
  </si>
  <si>
    <t>USW-PRO-48</t>
  </si>
  <si>
    <t>UNIFI SWITCH 48 PORT 10/100/1000 + 4 SFP 10 GB PRO 600W POE</t>
  </si>
  <si>
    <t>ITEM 7</t>
  </si>
  <si>
    <t>U6-LR</t>
  </si>
  <si>
    <t>UNIFI AP UBIQUITI WIFI 6 LONGR SIN FUENTE</t>
  </si>
  <si>
    <t>ITEM 8</t>
  </si>
  <si>
    <t>UCG-FIBER</t>
  </si>
  <si>
    <t>UNIFI GATEWAY UCG FIBER 4 port  rj45 2.5 gb +1 rj4510 + 2 PORT SFP + 10GB</t>
  </si>
  <si>
    <t>ITEM 9</t>
  </si>
  <si>
    <t>UCM6300A</t>
  </si>
  <si>
    <t>GRANDSTREAM CENTRAL 250 USU 50 LLAMADAS</t>
  </si>
  <si>
    <t>ITEM 10</t>
  </si>
  <si>
    <t>HT881</t>
  </si>
  <si>
    <t>GRANDSTREAM GATEWAY 8 FXO 1 FXS 3 SIP para convertir las líneas análogas en IP</t>
  </si>
  <si>
    <t>GRP2601P</t>
  </si>
  <si>
    <t>GRANDSTREAM TEL IP 2 LINEAS 2 SIP POE SIN FUENTE</t>
  </si>
  <si>
    <t>ITEM 11</t>
  </si>
  <si>
    <t>MATERIALES</t>
  </si>
  <si>
    <t>Puntos de red RJ45 CAT6A (face plate dobles + 130 JACK RJ45)</t>
  </si>
  <si>
    <t>item 1</t>
  </si>
  <si>
    <t>Puntos de telefonía IP (130 JACK RJ45)</t>
  </si>
  <si>
    <t xml:space="preserve"> item2</t>
  </si>
  <si>
    <t xml:space="preserve">Cable UTP </t>
  </si>
  <si>
    <t>item 3</t>
  </si>
  <si>
    <t>Patch panels 24 puertosCAT6A</t>
  </si>
  <si>
    <t xml:space="preserve"> item4</t>
  </si>
  <si>
    <t xml:space="preserve">Organizador </t>
  </si>
  <si>
    <t>item 5</t>
  </si>
  <si>
    <t>Racks metálicos 42U  (Barra de tensión 10 tomas + modulo de ventilación 2  turbos)</t>
  </si>
  <si>
    <t>item 6</t>
  </si>
  <si>
    <t>UPS para racks 3KVA</t>
  </si>
  <si>
    <t>item 12</t>
  </si>
  <si>
    <t>Canalización (bandejas, caños)</t>
  </si>
  <si>
    <t>item 13</t>
  </si>
  <si>
    <t xml:space="preserve">Patch cords y latiguillos </t>
  </si>
  <si>
    <t>item 14</t>
  </si>
  <si>
    <t xml:space="preserve">FIBRA MM 6H EXT ANT OM3 </t>
  </si>
  <si>
    <t>item 15</t>
  </si>
  <si>
    <t>Patch Panel de Fibra Óptica (FCP)</t>
  </si>
  <si>
    <t>item 16</t>
  </si>
  <si>
    <t xml:space="preserve">BANDEJA DE FO DESL </t>
  </si>
  <si>
    <t>item 17</t>
  </si>
  <si>
    <t xml:space="preserve">CUPLER DUPLEX LC OM3 </t>
  </si>
  <si>
    <t>item 18</t>
  </si>
  <si>
    <t xml:space="preserve">PIGTAIL FO LC OM3 1,5 MTS </t>
  </si>
  <si>
    <t>item 19</t>
  </si>
  <si>
    <t xml:space="preserve">PATCH CORD FO LC DUPLEX 2 MTS OM3 </t>
  </si>
  <si>
    <t>item 20</t>
  </si>
  <si>
    <t>Transceiver Óptico SFP 1OGb</t>
  </si>
  <si>
    <t>item 21</t>
  </si>
  <si>
    <t>JUSTIPRECIO</t>
  </si>
  <si>
    <t xml:space="preserve">POLIZA 10% ARRIBA JUSTI </t>
  </si>
  <si>
    <t>Item</t>
  </si>
  <si>
    <t>Descripción</t>
  </si>
  <si>
    <t>Cant. Original</t>
  </si>
  <si>
    <t>Nueva Cant.</t>
  </si>
  <si>
    <t>Unidad</t>
  </si>
  <si>
    <t>P. Unitario</t>
  </si>
  <si>
    <t>Subtotal (Sin IVA)</t>
  </si>
  <si>
    <t>SMARTTRAY BANDEJA PERFORADA 100MM</t>
  </si>
  <si>
    <t>SOPORTE MENSULA SIMPLE ZING. 230MM</t>
  </si>
  <si>
    <t>SOPORTE MENSULA SIMPLE ZING. 130MM</t>
  </si>
  <si>
    <t>SMARTTRAY UNION T P/PERFORADA 200MM</t>
  </si>
  <si>
    <t>SMARTTRAY UNION T P/PERFORADA 100MM</t>
  </si>
  <si>
    <t>SMARTTRAY CURVA PLANA 200MM 90G</t>
  </si>
  <si>
    <t>SMARTTRAY CURVA PLANA 100MM 90G</t>
  </si>
  <si>
    <t>SMARTTRAY CURVA VERT. UNIV. 200MM</t>
  </si>
  <si>
    <t>SMARTTRAY CURVA VERT. UNIV. 100MM</t>
  </si>
  <si>
    <t>SMARTTRAY JUEGO TORN.+ TUERCA M6</t>
  </si>
  <si>
    <t>CABLECANAL CKD 100X50MM BLANCO</t>
  </si>
  <si>
    <t>ZOLODA (Ítem 12)</t>
  </si>
  <si>
    <t>SUBTOTAL GENERAL</t>
  </si>
  <si>
    <t>IVA (21%)</t>
  </si>
  <si>
    <t>TOTAL FINAL</t>
  </si>
  <si>
    <t xml:space="preserve">Puntos de red RJ45 CAT6A </t>
  </si>
  <si>
    <t xml:space="preserve">Puntos de telefonía IP </t>
  </si>
  <si>
    <t>1.3</t>
  </si>
  <si>
    <t>1.4</t>
  </si>
  <si>
    <t xml:space="preserve">Patch panels 24 puertos CAT6A </t>
  </si>
  <si>
    <t>1.5</t>
  </si>
  <si>
    <t>1.6</t>
  </si>
  <si>
    <t xml:space="preserve">Racks metálicos 42U </t>
  </si>
  <si>
    <t>1.12</t>
  </si>
  <si>
    <t xml:space="preserve">UPS para racks </t>
  </si>
  <si>
    <t>1.13</t>
  </si>
  <si>
    <t xml:space="preserve">Canalización (bandejas, caños) </t>
  </si>
  <si>
    <t>1.14</t>
  </si>
  <si>
    <t xml:space="preserve">Patch cords y latiguillos  </t>
  </si>
  <si>
    <t>1.7</t>
  </si>
  <si>
    <t xml:space="preserve">Switches administrables 48 port </t>
  </si>
  <si>
    <t>1.8</t>
  </si>
  <si>
    <t xml:space="preserve">Access Points Wi-Fi 6 </t>
  </si>
  <si>
    <t>1.9</t>
  </si>
  <si>
    <t xml:space="preserve">Controladora Wi-Fi </t>
  </si>
  <si>
    <t>1.10</t>
  </si>
  <si>
    <t>1.11</t>
  </si>
  <si>
    <t xml:space="preserve">Teléfonos IP administrativos </t>
  </si>
  <si>
    <t>PBX IP (central telefónica) incluye equipos GRANDSTREAM GATEWAY 8 FXO 1 FXS 3 SIP para convertir las líneas análogas en IP</t>
  </si>
  <si>
    <t>Instalación y puesta en punto</t>
  </si>
  <si>
    <t>Materiales FO</t>
  </si>
  <si>
    <t>SBD</t>
  </si>
  <si>
    <t>Costos Generales</t>
  </si>
  <si>
    <t>Impuestos Generales</t>
  </si>
  <si>
    <t>Costos Directos</t>
  </si>
  <si>
    <t>Costos Indirectos</t>
  </si>
  <si>
    <t>TOTAL COST. GEN</t>
  </si>
  <si>
    <t>Impuestos 1</t>
  </si>
  <si>
    <t>Impuestos 2 Fa Total</t>
  </si>
  <si>
    <t>TOTAL IMP.GEN</t>
  </si>
  <si>
    <t>Renglón</t>
  </si>
  <si>
    <t>Precio Unitario S/ IVA</t>
  </si>
  <si>
    <t>Precio Unit ($) C/IVA</t>
  </si>
  <si>
    <t>FA BASE</t>
  </si>
  <si>
    <t>Equipos/Recursos</t>
  </si>
  <si>
    <t>Logistica y seguros</t>
  </si>
  <si>
    <t xml:space="preserve">Gtos financieros </t>
  </si>
  <si>
    <t>TOTAL ($)</t>
  </si>
  <si>
    <t>Incidencia</t>
  </si>
  <si>
    <t>Imp. Gan.35%</t>
  </si>
  <si>
    <t>IVA 21%</t>
  </si>
  <si>
    <t>Ingr. Brutos 5%</t>
  </si>
  <si>
    <t>Imp. Trcia. 1,2%</t>
  </si>
  <si>
    <t>Utilidad Neta</t>
  </si>
  <si>
    <t>% Ut. Neta</t>
  </si>
  <si>
    <t>CAMBIO DE DIVISAS</t>
  </si>
  <si>
    <t>FECHA</t>
  </si>
  <si>
    <t>VALOR</t>
  </si>
  <si>
    <t>MARGEN</t>
  </si>
  <si>
    <t>DÓLAR  BILLETE BNA VENTA</t>
  </si>
  <si>
    <t>INDICE DE INFLACION</t>
  </si>
  <si>
    <t>ANUAL</t>
  </si>
  <si>
    <t>INDICE MENSUALIZADO</t>
  </si>
  <si>
    <t>CANTIDAD DE MESES</t>
  </si>
  <si>
    <t>INDICE ACUMULADO INFLACIÓN</t>
  </si>
  <si>
    <t>COMISION VENTA</t>
  </si>
  <si>
    <t>COMISION ORGANISMO</t>
  </si>
  <si>
    <t>INDICE ASOCIADOS A COSTOS</t>
  </si>
  <si>
    <t>LOGISTICA + SEGUROS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</si>
</sst>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#,##0.00\ [$ARS]"/>
    <numFmt numFmtId="165" formatCode="0.0%"/>
    <numFmt numFmtId="166" formatCode="_-[$USD]\ * #,##0.00_-;\-[$USD]\ * #,##0.00_-;_-[$USD]\ * &quot;-&quot;??_-;_-@_-"/>
    <numFmt numFmtId="167" formatCode="[$USD]\ #,##0.00;\-[$USD]\ #,##0.00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4"/>
      <color theme="1"/>
      <name val="Calibri"/>
      <family val="2"/>
      <scheme val="minor"/>
    </font>
    <font>
      <b/>
      <u val="singleAccounting"/>
      <sz val="16"/>
      <color theme="1"/>
      <name val="Calibri"/>
      <family val="2"/>
    </font>
    <font>
      <b/>
      <sz val="10"/>
      <color theme="0"/>
      <name val="Calibri"/>
      <family val="2"/>
      <scheme val="minor"/>
    </font>
    <font>
      <b/>
      <sz val="10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rgb="FF000000"/>
      <name val="Arial Nova"/>
      <family val="2"/>
    </font>
    <font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Calibri-Bold"/>
    </font>
    <font>
      <b/>
      <sz val="12"/>
      <color rgb="FF000000"/>
      <name val="Calibri"/>
      <family val="2"/>
    </font>
    <font>
      <b/>
      <sz val="16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sz val="11"/>
      <color rgb="FF2C363A"/>
      <name val="Calibri Light"/>
      <family val="2"/>
    </font>
    <font>
      <sz val="11"/>
      <color rgb="FF2C363A"/>
      <name val="Calibri Light"/>
      <family val="2"/>
    </font>
    <font>
      <b/>
      <sz val="14"/>
      <color theme="1"/>
      <name val="Calibri"/>
      <family val="2"/>
      <scheme val="minor"/>
    </font>
    <font>
      <b/>
      <sz val="9"/>
      <color rgb="FF000000"/>
      <name val="Fon1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0"/>
      <name val="Arial"/>
      <family val="2"/>
    </font>
    <font>
      <b/>
      <sz val="16"/>
      <color theme="1"/>
      <name val="Arial"/>
      <family val="2"/>
    </font>
    <font>
      <b/>
      <u/>
      <sz val="11"/>
      <color theme="1"/>
      <name val="Arial"/>
      <family val="2"/>
    </font>
    <font>
      <b/>
      <sz val="12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8">
    <xf numFmtId="0" fontId="0" fillId="0" borderId="0"/>
    <xf numFmtId="0" fontId="1" fillId="0" borderId="0"/>
    <xf numFmtId="9" fontId="1" fillId="0" borderId="0"/>
    <xf numFmtId="43" fontId="1" fillId="0" borderId="0"/>
    <xf numFmtId="44" fontId="1" fillId="0" borderId="0"/>
    <xf numFmtId="44" fontId="16" fillId="0" borderId="0"/>
    <xf numFmtId="44" fontId="1" fillId="0" borderId="0"/>
    <xf numFmtId="0" fontId="1" fillId="0" borderId="0"/>
  </cellStyleXfs>
  <cellXfs count="258">
    <xf numFmtId="0" fontId="0" fillId="0" borderId="0" xfId="0"/>
    <xf numFmtId="0" fontId="0" fillId="0" borderId="1" xfId="0" applyBorder="1"/>
    <xf numFmtId="0" fontId="5" fillId="2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0" fontId="6" fillId="2" borderId="1" xfId="0" applyFont="1" applyFill="1" applyBorder="1" applyAlignment="1">
      <alignment vertical="top"/>
    </xf>
    <xf numFmtId="43" fontId="5" fillId="2" borderId="1" xfId="3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left" vertical="top"/>
    </xf>
    <xf numFmtId="43" fontId="5" fillId="2" borderId="1" xfId="3" applyFont="1" applyFill="1" applyBorder="1" applyAlignment="1">
      <alignment vertical="top"/>
    </xf>
    <xf numFmtId="16" fontId="5" fillId="2" borderId="1" xfId="0" applyNumberFormat="1" applyFont="1" applyFill="1" applyBorder="1" applyAlignment="1">
      <alignment horizontal="left" vertical="top"/>
    </xf>
    <xf numFmtId="0" fontId="5" fillId="2" borderId="1" xfId="0" applyFont="1" applyFill="1" applyBorder="1" applyAlignment="1">
      <alignment vertical="top"/>
    </xf>
    <xf numFmtId="2" fontId="5" fillId="2" borderId="1" xfId="0" applyNumberFormat="1" applyFont="1" applyFill="1" applyBorder="1" applyAlignment="1">
      <alignment vertical="top"/>
    </xf>
    <xf numFmtId="43" fontId="5" fillId="2" borderId="0" xfId="3" applyFont="1" applyFill="1" applyAlignment="1">
      <alignment vertical="top"/>
    </xf>
    <xf numFmtId="9" fontId="0" fillId="0" borderId="1" xfId="2" applyFont="1" applyBorder="1"/>
    <xf numFmtId="164" fontId="5" fillId="2" borderId="0" xfId="0" applyNumberFormat="1" applyFont="1" applyFill="1" applyAlignment="1">
      <alignment horizontal="left" vertical="top"/>
    </xf>
    <xf numFmtId="2" fontId="5" fillId="2" borderId="0" xfId="0" applyNumberFormat="1" applyFont="1" applyFill="1" applyAlignment="1">
      <alignment vertical="top"/>
    </xf>
    <xf numFmtId="0" fontId="7" fillId="0" borderId="0" xfId="0" applyFont="1"/>
    <xf numFmtId="43" fontId="8" fillId="2" borderId="1" xfId="3" applyFont="1" applyFill="1" applyBorder="1" applyAlignment="1">
      <alignment vertical="top"/>
    </xf>
    <xf numFmtId="43" fontId="8" fillId="2" borderId="0" xfId="3" applyFont="1" applyFill="1" applyAlignment="1">
      <alignment vertical="top"/>
    </xf>
    <xf numFmtId="165" fontId="0" fillId="0" borderId="1" xfId="2" applyNumberFormat="1" applyFont="1" applyBorder="1"/>
    <xf numFmtId="165" fontId="0" fillId="0" borderId="0" xfId="0" applyNumberFormat="1"/>
    <xf numFmtId="14" fontId="5" fillId="2" borderId="1" xfId="0" applyNumberFormat="1" applyFont="1" applyFill="1" applyBorder="1" applyAlignment="1">
      <alignment horizontal="left" vertical="top"/>
    </xf>
    <xf numFmtId="10" fontId="0" fillId="0" borderId="1" xfId="2" applyNumberFormat="1" applyFont="1" applyBorder="1"/>
    <xf numFmtId="10" fontId="0" fillId="0" borderId="0" xfId="2" applyNumberFormat="1" applyFont="1"/>
    <xf numFmtId="14" fontId="5" fillId="7" borderId="1" xfId="0" applyNumberFormat="1" applyFont="1" applyFill="1" applyBorder="1" applyAlignment="1">
      <alignment horizontal="left" vertical="top"/>
    </xf>
    <xf numFmtId="43" fontId="5" fillId="7" borderId="1" xfId="3" applyFont="1" applyFill="1" applyBorder="1" applyAlignment="1">
      <alignment vertical="top"/>
    </xf>
    <xf numFmtId="43" fontId="5" fillId="21" borderId="1" xfId="3" applyFont="1" applyFill="1" applyBorder="1" applyAlignment="1">
      <alignment vertical="top"/>
    </xf>
    <xf numFmtId="0" fontId="5" fillId="21" borderId="1" xfId="0" applyFont="1" applyFill="1" applyBorder="1" applyAlignment="1">
      <alignment vertical="top"/>
    </xf>
    <xf numFmtId="2" fontId="5" fillId="7" borderId="1" xfId="0" applyNumberFormat="1" applyFont="1" applyFill="1" applyBorder="1" applyAlignment="1">
      <alignment vertical="top"/>
    </xf>
    <xf numFmtId="0" fontId="2" fillId="2" borderId="0" xfId="0" applyFont="1" applyFill="1" applyAlignment="1">
      <alignment horizontal="center" vertical="top"/>
    </xf>
    <xf numFmtId="0" fontId="0" fillId="2" borderId="0" xfId="0" applyFill="1" applyAlignment="1">
      <alignment vertical="top"/>
    </xf>
    <xf numFmtId="0" fontId="3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vertical="top"/>
    </xf>
    <xf numFmtId="0" fontId="9" fillId="17" borderId="1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top" wrapText="1"/>
    </xf>
    <xf numFmtId="0" fontId="9" fillId="3" borderId="11" xfId="0" applyFont="1" applyFill="1" applyBorder="1" applyAlignment="1">
      <alignment horizontal="center" vertical="top" wrapText="1"/>
    </xf>
    <xf numFmtId="0" fontId="9" fillId="18" borderId="11" xfId="0" applyFont="1" applyFill="1" applyBorder="1" applyAlignment="1">
      <alignment horizontal="center" vertical="top" wrapText="1"/>
    </xf>
    <xf numFmtId="0" fontId="9" fillId="9" borderId="11" xfId="0" applyFont="1" applyFill="1" applyBorder="1" applyAlignment="1">
      <alignment horizontal="center" vertical="top" wrapText="1"/>
    </xf>
    <xf numFmtId="0" fontId="9" fillId="17" borderId="10" xfId="0" applyFont="1" applyFill="1" applyBorder="1" applyAlignment="1">
      <alignment horizontal="center" vertical="top" wrapText="1"/>
    </xf>
    <xf numFmtId="0" fontId="9" fillId="13" borderId="11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0" fontId="9" fillId="6" borderId="12" xfId="0" applyFont="1" applyFill="1" applyBorder="1" applyAlignment="1">
      <alignment horizontal="center" vertical="top" wrapText="1"/>
    </xf>
    <xf numFmtId="0" fontId="14" fillId="2" borderId="0" xfId="0" applyFont="1" applyFill="1" applyAlignment="1">
      <alignment horizontal="center" vertical="top"/>
    </xf>
    <xf numFmtId="43" fontId="5" fillId="20" borderId="1" xfId="3" applyFont="1" applyFill="1" applyBorder="1" applyAlignment="1">
      <alignment vertical="top"/>
    </xf>
    <xf numFmtId="0" fontId="5" fillId="20" borderId="0" xfId="0" applyFont="1" applyFill="1" applyAlignment="1">
      <alignment vertical="top"/>
    </xf>
    <xf numFmtId="0" fontId="14" fillId="11" borderId="1" xfId="0" applyFont="1" applyFill="1" applyBorder="1" applyAlignment="1">
      <alignment horizontal="center" vertical="top"/>
    </xf>
    <xf numFmtId="0" fontId="14" fillId="11" borderId="1" xfId="0" applyFont="1" applyFill="1" applyBorder="1" applyAlignment="1">
      <alignment vertical="top"/>
    </xf>
    <xf numFmtId="166" fontId="10" fillId="11" borderId="1" xfId="0" applyNumberFormat="1" applyFont="1" applyFill="1" applyBorder="1" applyAlignment="1">
      <alignment horizontal="right" vertical="top" wrapText="1"/>
    </xf>
    <xf numFmtId="166" fontId="11" fillId="11" borderId="1" xfId="0" applyNumberFormat="1" applyFont="1" applyFill="1" applyBorder="1" applyAlignment="1">
      <alignment vertical="top"/>
    </xf>
    <xf numFmtId="10" fontId="11" fillId="11" borderId="1" xfId="0" applyNumberFormat="1" applyFont="1" applyFill="1" applyBorder="1" applyAlignment="1">
      <alignment horizontal="center" vertical="top"/>
    </xf>
    <xf numFmtId="167" fontId="11" fillId="11" borderId="1" xfId="0" applyNumberFormat="1" applyFont="1" applyFill="1" applyBorder="1" applyAlignment="1">
      <alignment horizontal="center" vertical="top"/>
    </xf>
    <xf numFmtId="10" fontId="12" fillId="11" borderId="1" xfId="0" applyNumberFormat="1" applyFont="1" applyFill="1" applyBorder="1" applyAlignment="1">
      <alignment horizontal="center" vertical="top" wrapText="1"/>
    </xf>
    <xf numFmtId="166" fontId="13" fillId="11" borderId="1" xfId="0" applyNumberFormat="1" applyFont="1" applyFill="1" applyBorder="1" applyAlignment="1">
      <alignment vertical="top"/>
    </xf>
    <xf numFmtId="0" fontId="2" fillId="11" borderId="0" xfId="0" applyFont="1" applyFill="1" applyAlignment="1">
      <alignment vertical="top"/>
    </xf>
    <xf numFmtId="0" fontId="9" fillId="22" borderId="13" xfId="0" applyFont="1" applyFill="1" applyBorder="1" applyAlignment="1">
      <alignment horizontal="center" vertical="top" wrapText="1"/>
    </xf>
    <xf numFmtId="167" fontId="11" fillId="11" borderId="14" xfId="0" applyNumberFormat="1" applyFont="1" applyFill="1" applyBorder="1" applyAlignment="1">
      <alignment horizontal="center" vertical="top"/>
    </xf>
    <xf numFmtId="167" fontId="11" fillId="11" borderId="15" xfId="0" applyNumberFormat="1" applyFont="1" applyFill="1" applyBorder="1" applyAlignment="1">
      <alignment horizontal="center" vertical="top"/>
    </xf>
    <xf numFmtId="167" fontId="11" fillId="11" borderId="16" xfId="0" applyNumberFormat="1" applyFont="1" applyFill="1" applyBorder="1" applyAlignment="1">
      <alignment horizontal="center" vertical="top"/>
    </xf>
    <xf numFmtId="0" fontId="9" fillId="10" borderId="17" xfId="0" applyFont="1" applyFill="1" applyBorder="1" applyAlignment="1">
      <alignment horizontal="center" vertical="top" wrapText="1"/>
    </xf>
    <xf numFmtId="0" fontId="9" fillId="19" borderId="18" xfId="0" applyFont="1" applyFill="1" applyBorder="1" applyAlignment="1">
      <alignment horizontal="center" vertical="top" wrapText="1"/>
    </xf>
    <xf numFmtId="0" fontId="9" fillId="14" borderId="18" xfId="0" applyFont="1" applyFill="1" applyBorder="1" applyAlignment="1">
      <alignment horizontal="center" vertical="top" wrapText="1"/>
    </xf>
    <xf numFmtId="0" fontId="9" fillId="15" borderId="18" xfId="0" applyFont="1" applyFill="1" applyBorder="1" applyAlignment="1">
      <alignment horizontal="center" vertical="top" wrapText="1"/>
    </xf>
    <xf numFmtId="0" fontId="9" fillId="12" borderId="18" xfId="0" applyFont="1" applyFill="1" applyBorder="1" applyAlignment="1">
      <alignment horizontal="center" vertical="top" wrapText="1"/>
    </xf>
    <xf numFmtId="0" fontId="9" fillId="7" borderId="19" xfId="0" applyFont="1" applyFill="1" applyBorder="1" applyAlignment="1">
      <alignment horizontal="center" vertical="top" wrapText="1"/>
    </xf>
    <xf numFmtId="0" fontId="9" fillId="7" borderId="3" xfId="0" applyFont="1" applyFill="1" applyBorder="1" applyAlignment="1">
      <alignment horizontal="center" vertical="top" wrapText="1"/>
    </xf>
    <xf numFmtId="44" fontId="11" fillId="7" borderId="21" xfId="4" applyFont="1" applyFill="1" applyBorder="1" applyAlignment="1">
      <alignment horizontal="center" vertical="top"/>
    </xf>
    <xf numFmtId="167" fontId="13" fillId="11" borderId="22" xfId="0" applyNumberFormat="1" applyFont="1" applyFill="1" applyBorder="1" applyAlignment="1">
      <alignment horizontal="center" vertical="top"/>
    </xf>
    <xf numFmtId="167" fontId="13" fillId="11" borderId="16" xfId="0" applyNumberFormat="1" applyFont="1" applyFill="1" applyBorder="1" applyAlignment="1">
      <alignment horizontal="center" vertical="top"/>
    </xf>
    <xf numFmtId="0" fontId="9" fillId="16" borderId="18" xfId="0" applyFont="1" applyFill="1" applyBorder="1" applyAlignment="1">
      <alignment horizontal="center" vertical="top" wrapText="1"/>
    </xf>
    <xf numFmtId="0" fontId="9" fillId="6" borderId="18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4" fillId="3" borderId="14" xfId="0" applyFont="1" applyFill="1" applyBorder="1" applyAlignment="1">
      <alignment horizontal="center" vertical="top" wrapText="1"/>
    </xf>
    <xf numFmtId="0" fontId="4" fillId="3" borderId="23" xfId="0" applyFont="1" applyFill="1" applyBorder="1" applyAlignment="1">
      <alignment horizontal="center" vertical="top" wrapText="1"/>
    </xf>
    <xf numFmtId="0" fontId="15" fillId="3" borderId="1" xfId="0" applyFont="1" applyFill="1" applyBorder="1" applyAlignment="1">
      <alignment horizontal="center" vertical="top"/>
    </xf>
    <xf numFmtId="0" fontId="18" fillId="7" borderId="1" xfId="0" applyFont="1" applyFill="1" applyBorder="1"/>
    <xf numFmtId="167" fontId="11" fillId="24" borderId="20" xfId="0" applyNumberFormat="1" applyFont="1" applyFill="1" applyBorder="1" applyAlignment="1">
      <alignment horizontal="center" vertical="top"/>
    </xf>
    <xf numFmtId="0" fontId="0" fillId="2" borderId="0" xfId="0" applyFill="1"/>
    <xf numFmtId="166" fontId="0" fillId="0" borderId="0" xfId="0" applyNumberFormat="1"/>
    <xf numFmtId="167" fontId="2" fillId="11" borderId="0" xfId="0" applyNumberFormat="1" applyFont="1" applyFill="1" applyAlignment="1">
      <alignment vertical="top"/>
    </xf>
    <xf numFmtId="0" fontId="23" fillId="21" borderId="25" xfId="0" applyFont="1" applyFill="1" applyBorder="1" applyAlignment="1">
      <alignment vertical="center" wrapText="1"/>
    </xf>
    <xf numFmtId="167" fontId="22" fillId="30" borderId="0" xfId="0" applyNumberFormat="1" applyFont="1" applyFill="1" applyAlignment="1">
      <alignment vertical="top"/>
    </xf>
    <xf numFmtId="44" fontId="22" fillId="9" borderId="0" xfId="0" applyNumberFormat="1" applyFont="1" applyFill="1" applyAlignment="1">
      <alignment vertical="top"/>
    </xf>
    <xf numFmtId="4" fontId="24" fillId="23" borderId="28" xfId="0" applyNumberFormat="1" applyFont="1" applyFill="1" applyBorder="1" applyAlignment="1">
      <alignment horizontal="right" vertical="center"/>
    </xf>
    <xf numFmtId="0" fontId="24" fillId="23" borderId="28" xfId="0" applyFont="1" applyFill="1" applyBorder="1" applyAlignment="1">
      <alignment horizontal="right" vertical="center"/>
    </xf>
    <xf numFmtId="0" fontId="24" fillId="4" borderId="28" xfId="0" applyFont="1" applyFill="1" applyBorder="1" applyAlignment="1">
      <alignment horizontal="right" vertical="center"/>
    </xf>
    <xf numFmtId="3" fontId="24" fillId="4" borderId="28" xfId="0" applyNumberFormat="1" applyFont="1" applyFill="1" applyBorder="1" applyAlignment="1">
      <alignment horizontal="right" vertical="center"/>
    </xf>
    <xf numFmtId="0" fontId="19" fillId="13" borderId="9" xfId="0" applyFont="1" applyFill="1" applyBorder="1" applyAlignment="1">
      <alignment horizontal="center" vertical="center" wrapText="1"/>
    </xf>
    <xf numFmtId="0" fontId="19" fillId="7" borderId="9" xfId="0" applyFont="1" applyFill="1" applyBorder="1" applyAlignment="1">
      <alignment horizontal="center" vertical="center" wrapText="1"/>
    </xf>
    <xf numFmtId="0" fontId="19" fillId="28" borderId="24" xfId="0" applyFont="1" applyFill="1" applyBorder="1" applyAlignment="1">
      <alignment horizontal="center" vertical="center" wrapText="1"/>
    </xf>
    <xf numFmtId="0" fontId="19" fillId="25" borderId="23" xfId="0" applyFont="1" applyFill="1" applyBorder="1" applyAlignment="1">
      <alignment horizontal="center" vertical="center" wrapText="1"/>
    </xf>
    <xf numFmtId="0" fontId="19" fillId="23" borderId="23" xfId="0" applyFont="1" applyFill="1" applyBorder="1" applyAlignment="1">
      <alignment horizontal="center" vertical="center" wrapText="1"/>
    </xf>
    <xf numFmtId="166" fontId="22" fillId="4" borderId="0" xfId="0" applyNumberFormat="1" applyFont="1" applyFill="1" applyAlignment="1">
      <alignment vertical="top"/>
    </xf>
    <xf numFmtId="0" fontId="18" fillId="4" borderId="1" xfId="0" applyFont="1" applyFill="1" applyBorder="1"/>
    <xf numFmtId="0" fontId="24" fillId="7" borderId="29" xfId="0" applyFont="1" applyFill="1" applyBorder="1" applyAlignment="1">
      <alignment vertical="center"/>
    </xf>
    <xf numFmtId="0" fontId="24" fillId="7" borderId="28" xfId="0" applyFont="1" applyFill="1" applyBorder="1" applyAlignment="1">
      <alignment vertical="center"/>
    </xf>
    <xf numFmtId="0" fontId="24" fillId="4" borderId="29" xfId="0" applyFont="1" applyFill="1" applyBorder="1" applyAlignment="1">
      <alignment vertical="center"/>
    </xf>
    <xf numFmtId="0" fontId="24" fillId="4" borderId="28" xfId="0" applyFont="1" applyFill="1" applyBorder="1" applyAlignment="1">
      <alignment vertical="center"/>
    </xf>
    <xf numFmtId="3" fontId="25" fillId="2" borderId="0" xfId="0" applyNumberFormat="1" applyFont="1" applyFill="1" applyAlignment="1">
      <alignment horizontal="right" vertical="center"/>
    </xf>
    <xf numFmtId="0" fontId="22" fillId="2" borderId="0" xfId="0" applyFont="1" applyFill="1" applyAlignment="1">
      <alignment horizontal="center" vertical="top" wrapText="1"/>
    </xf>
    <xf numFmtId="0" fontId="4" fillId="3" borderId="27" xfId="0" applyFont="1" applyFill="1" applyBorder="1" applyAlignment="1">
      <alignment horizontal="center" vertical="top" wrapText="1"/>
    </xf>
    <xf numFmtId="0" fontId="4" fillId="3" borderId="30" xfId="0" applyFont="1" applyFill="1" applyBorder="1" applyAlignment="1">
      <alignment horizontal="center" vertical="top" wrapText="1"/>
    </xf>
    <xf numFmtId="0" fontId="15" fillId="3" borderId="27" xfId="0" applyFont="1" applyFill="1" applyBorder="1" applyAlignment="1">
      <alignment horizontal="center" vertical="top"/>
    </xf>
    <xf numFmtId="0" fontId="4" fillId="3" borderId="31" xfId="0" applyFont="1" applyFill="1" applyBorder="1" applyAlignment="1">
      <alignment horizontal="center" vertical="top" wrapText="1"/>
    </xf>
    <xf numFmtId="0" fontId="2" fillId="5" borderId="27" xfId="0" applyFont="1" applyFill="1" applyBorder="1" applyAlignment="1">
      <alignment horizontal="center" vertical="top" wrapText="1"/>
    </xf>
    <xf numFmtId="0" fontId="9" fillId="10" borderId="10" xfId="0" applyFont="1" applyFill="1" applyBorder="1" applyAlignment="1">
      <alignment horizontal="center" vertical="top" wrapText="1"/>
    </xf>
    <xf numFmtId="0" fontId="9" fillId="19" borderId="11" xfId="0" applyFont="1" applyFill="1" applyBorder="1" applyAlignment="1">
      <alignment horizontal="center" vertical="top" wrapText="1"/>
    </xf>
    <xf numFmtId="0" fontId="9" fillId="14" borderId="11" xfId="0" applyFont="1" applyFill="1" applyBorder="1" applyAlignment="1">
      <alignment horizontal="center" vertical="top" wrapText="1"/>
    </xf>
    <xf numFmtId="0" fontId="9" fillId="15" borderId="11" xfId="0" applyFont="1" applyFill="1" applyBorder="1" applyAlignment="1">
      <alignment horizontal="center" vertical="top" wrapText="1"/>
    </xf>
    <xf numFmtId="0" fontId="9" fillId="12" borderId="11" xfId="0" applyFont="1" applyFill="1" applyBorder="1" applyAlignment="1">
      <alignment horizontal="center" vertical="top" wrapText="1"/>
    </xf>
    <xf numFmtId="0" fontId="9" fillId="7" borderId="13" xfId="0" applyFont="1" applyFill="1" applyBorder="1" applyAlignment="1">
      <alignment horizontal="center" vertical="top" wrapText="1"/>
    </xf>
    <xf numFmtId="0" fontId="9" fillId="7" borderId="25" xfId="0" applyFont="1" applyFill="1" applyBorder="1" applyAlignment="1">
      <alignment horizontal="center" vertical="top" wrapText="1"/>
    </xf>
    <xf numFmtId="0" fontId="9" fillId="16" borderId="11" xfId="0" applyFont="1" applyFill="1" applyBorder="1" applyAlignment="1">
      <alignment horizontal="center" vertical="top" wrapText="1"/>
    </xf>
    <xf numFmtId="0" fontId="9" fillId="6" borderId="11" xfId="0" applyFont="1" applyFill="1" applyBorder="1" applyAlignment="1">
      <alignment horizontal="center" vertical="top" wrapText="1"/>
    </xf>
    <xf numFmtId="0" fontId="24" fillId="7" borderId="1" xfId="0" applyFont="1" applyFill="1" applyBorder="1" applyAlignment="1">
      <alignment vertical="center"/>
    </xf>
    <xf numFmtId="0" fontId="22" fillId="2" borderId="1" xfId="0" applyFont="1" applyFill="1" applyBorder="1" applyAlignment="1">
      <alignment horizontal="center" vertical="top" wrapText="1"/>
    </xf>
    <xf numFmtId="0" fontId="19" fillId="13" borderId="1" xfId="0" applyFont="1" applyFill="1" applyBorder="1" applyAlignment="1">
      <alignment horizontal="center" vertical="center" wrapText="1"/>
    </xf>
    <xf numFmtId="4" fontId="24" fillId="23" borderId="1" xfId="0" applyNumberFormat="1" applyFont="1" applyFill="1" applyBorder="1" applyAlignment="1">
      <alignment horizontal="right" vertical="center"/>
    </xf>
    <xf numFmtId="167" fontId="13" fillId="11" borderId="1" xfId="0" applyNumberFormat="1" applyFont="1" applyFill="1" applyBorder="1" applyAlignment="1">
      <alignment horizontal="center" vertical="top"/>
    </xf>
    <xf numFmtId="44" fontId="3" fillId="7" borderId="1" xfId="4" applyFont="1" applyFill="1" applyBorder="1" applyAlignment="1">
      <alignment horizontal="center" vertical="top"/>
    </xf>
    <xf numFmtId="167" fontId="3" fillId="24" borderId="1" xfId="0" applyNumberFormat="1" applyFont="1" applyFill="1" applyBorder="1" applyAlignment="1">
      <alignment horizontal="center" vertical="top"/>
    </xf>
    <xf numFmtId="0" fontId="14" fillId="4" borderId="1" xfId="0" applyFont="1" applyFill="1" applyBorder="1" applyAlignment="1">
      <alignment horizontal="center" vertical="top"/>
    </xf>
    <xf numFmtId="0" fontId="14" fillId="4" borderId="1" xfId="0" applyFont="1" applyFill="1" applyBorder="1" applyAlignment="1">
      <alignment vertical="top"/>
    </xf>
    <xf numFmtId="0" fontId="0" fillId="4" borderId="0" xfId="0" applyFill="1" applyAlignment="1">
      <alignment vertical="top"/>
    </xf>
    <xf numFmtId="0" fontId="20" fillId="4" borderId="1" xfId="0" applyFont="1" applyFill="1" applyBorder="1" applyAlignment="1">
      <alignment vertical="center" wrapText="1"/>
    </xf>
    <xf numFmtId="0" fontId="17" fillId="4" borderId="1" xfId="0" applyFont="1" applyFill="1" applyBorder="1"/>
    <xf numFmtId="166" fontId="10" fillId="4" borderId="1" xfId="0" applyNumberFormat="1" applyFont="1" applyFill="1" applyBorder="1" applyAlignment="1">
      <alignment horizontal="right" vertical="top" wrapText="1"/>
    </xf>
    <xf numFmtId="166" fontId="11" fillId="4" borderId="1" xfId="0" applyNumberFormat="1" applyFont="1" applyFill="1" applyBorder="1" applyAlignment="1">
      <alignment vertical="top"/>
    </xf>
    <xf numFmtId="10" fontId="11" fillId="4" borderId="1" xfId="0" applyNumberFormat="1" applyFont="1" applyFill="1" applyBorder="1" applyAlignment="1">
      <alignment horizontal="center" vertical="top"/>
    </xf>
    <xf numFmtId="167" fontId="11" fillId="4" borderId="1" xfId="0" applyNumberFormat="1" applyFont="1" applyFill="1" applyBorder="1" applyAlignment="1">
      <alignment horizontal="center" vertical="top"/>
    </xf>
    <xf numFmtId="10" fontId="12" fillId="4" borderId="1" xfId="0" applyNumberFormat="1" applyFont="1" applyFill="1" applyBorder="1" applyAlignment="1">
      <alignment horizontal="center" vertical="top" wrapText="1"/>
    </xf>
    <xf numFmtId="166" fontId="13" fillId="4" borderId="1" xfId="0" applyNumberFormat="1" applyFont="1" applyFill="1" applyBorder="1" applyAlignment="1">
      <alignment vertical="top"/>
    </xf>
    <xf numFmtId="167" fontId="11" fillId="4" borderId="14" xfId="0" applyNumberFormat="1" applyFont="1" applyFill="1" applyBorder="1" applyAlignment="1">
      <alignment horizontal="center" vertical="top"/>
    </xf>
    <xf numFmtId="167" fontId="11" fillId="4" borderId="15" xfId="0" applyNumberFormat="1" applyFont="1" applyFill="1" applyBorder="1" applyAlignment="1">
      <alignment horizontal="center" vertical="top"/>
    </xf>
    <xf numFmtId="167" fontId="11" fillId="4" borderId="16" xfId="0" applyNumberFormat="1" applyFont="1" applyFill="1" applyBorder="1" applyAlignment="1">
      <alignment horizontal="center" vertical="top"/>
    </xf>
    <xf numFmtId="44" fontId="11" fillId="4" borderId="21" xfId="4" applyFont="1" applyFill="1" applyBorder="1" applyAlignment="1">
      <alignment horizontal="center" vertical="top"/>
    </xf>
    <xf numFmtId="167" fontId="13" fillId="4" borderId="22" xfId="0" applyNumberFormat="1" applyFont="1" applyFill="1" applyBorder="1" applyAlignment="1">
      <alignment horizontal="center" vertical="top"/>
    </xf>
    <xf numFmtId="167" fontId="13" fillId="4" borderId="16" xfId="0" applyNumberFormat="1" applyFont="1" applyFill="1" applyBorder="1" applyAlignment="1">
      <alignment horizontal="center" vertical="top"/>
    </xf>
    <xf numFmtId="167" fontId="11" fillId="4" borderId="20" xfId="0" applyNumberFormat="1" applyFont="1" applyFill="1" applyBorder="1" applyAlignment="1">
      <alignment horizontal="center" vertical="top"/>
    </xf>
    <xf numFmtId="0" fontId="2" fillId="4" borderId="0" xfId="0" applyFont="1" applyFill="1" applyAlignment="1">
      <alignment vertical="top"/>
    </xf>
    <xf numFmtId="0" fontId="23" fillId="4" borderId="25" xfId="0" applyFont="1" applyFill="1" applyBorder="1" applyAlignment="1">
      <alignment vertical="center" wrapText="1"/>
    </xf>
    <xf numFmtId="0" fontId="27" fillId="0" borderId="0" xfId="0" applyFont="1"/>
    <xf numFmtId="0" fontId="14" fillId="21" borderId="1" xfId="0" applyFont="1" applyFill="1" applyBorder="1" applyAlignment="1">
      <alignment horizontal="center" vertical="top"/>
    </xf>
    <xf numFmtId="0" fontId="14" fillId="21" borderId="1" xfId="0" applyFont="1" applyFill="1" applyBorder="1" applyAlignment="1">
      <alignment vertical="top"/>
    </xf>
    <xf numFmtId="0" fontId="0" fillId="21" borderId="0" xfId="0" applyFill="1" applyAlignment="1">
      <alignment vertical="top"/>
    </xf>
    <xf numFmtId="0" fontId="21" fillId="21" borderId="1" xfId="0" applyFont="1" applyFill="1" applyBorder="1" applyAlignment="1">
      <alignment horizontal="left" vertical="center"/>
    </xf>
    <xf numFmtId="0" fontId="17" fillId="21" borderId="1" xfId="0" applyFont="1" applyFill="1" applyBorder="1"/>
    <xf numFmtId="0" fontId="20" fillId="21" borderId="1" xfId="0" applyFont="1" applyFill="1" applyBorder="1" applyAlignment="1">
      <alignment vertical="center" wrapText="1"/>
    </xf>
    <xf numFmtId="0" fontId="24" fillId="21" borderId="28" xfId="0" applyFont="1" applyFill="1" applyBorder="1" applyAlignment="1">
      <alignment horizontal="right" vertical="center"/>
    </xf>
    <xf numFmtId="166" fontId="10" fillId="21" borderId="1" xfId="0" applyNumberFormat="1" applyFont="1" applyFill="1" applyBorder="1" applyAlignment="1">
      <alignment horizontal="right" vertical="top" wrapText="1"/>
    </xf>
    <xf numFmtId="166" fontId="11" fillId="21" borderId="1" xfId="0" applyNumberFormat="1" applyFont="1" applyFill="1" applyBorder="1" applyAlignment="1">
      <alignment vertical="top"/>
    </xf>
    <xf numFmtId="10" fontId="11" fillId="21" borderId="1" xfId="0" applyNumberFormat="1" applyFont="1" applyFill="1" applyBorder="1" applyAlignment="1">
      <alignment horizontal="center" vertical="top"/>
    </xf>
    <xf numFmtId="167" fontId="11" fillId="21" borderId="1" xfId="0" applyNumberFormat="1" applyFont="1" applyFill="1" applyBorder="1" applyAlignment="1">
      <alignment horizontal="center" vertical="top"/>
    </xf>
    <xf numFmtId="10" fontId="12" fillId="21" borderId="1" xfId="0" applyNumberFormat="1" applyFont="1" applyFill="1" applyBorder="1" applyAlignment="1">
      <alignment horizontal="center" vertical="top" wrapText="1"/>
    </xf>
    <xf numFmtId="166" fontId="13" fillId="21" borderId="1" xfId="0" applyNumberFormat="1" applyFont="1" applyFill="1" applyBorder="1" applyAlignment="1">
      <alignment vertical="top"/>
    </xf>
    <xf numFmtId="167" fontId="11" fillId="21" borderId="14" xfId="0" applyNumberFormat="1" applyFont="1" applyFill="1" applyBorder="1" applyAlignment="1">
      <alignment horizontal="center" vertical="top"/>
    </xf>
    <xf numFmtId="167" fontId="11" fillId="21" borderId="15" xfId="0" applyNumberFormat="1" applyFont="1" applyFill="1" applyBorder="1" applyAlignment="1">
      <alignment horizontal="center" vertical="top"/>
    </xf>
    <xf numFmtId="167" fontId="11" fillId="21" borderId="16" xfId="0" applyNumberFormat="1" applyFont="1" applyFill="1" applyBorder="1" applyAlignment="1">
      <alignment horizontal="center" vertical="top"/>
    </xf>
    <xf numFmtId="44" fontId="11" fillId="21" borderId="21" xfId="4" applyFont="1" applyFill="1" applyBorder="1" applyAlignment="1">
      <alignment horizontal="center" vertical="top"/>
    </xf>
    <xf numFmtId="167" fontId="13" fillId="21" borderId="22" xfId="0" applyNumberFormat="1" applyFont="1" applyFill="1" applyBorder="1" applyAlignment="1">
      <alignment horizontal="center" vertical="top"/>
    </xf>
    <xf numFmtId="167" fontId="13" fillId="21" borderId="16" xfId="0" applyNumberFormat="1" applyFont="1" applyFill="1" applyBorder="1" applyAlignment="1">
      <alignment horizontal="center" vertical="top"/>
    </xf>
    <xf numFmtId="167" fontId="11" fillId="21" borderId="20" xfId="0" applyNumberFormat="1" applyFont="1" applyFill="1" applyBorder="1" applyAlignment="1">
      <alignment horizontal="center" vertical="top"/>
    </xf>
    <xf numFmtId="0" fontId="2" fillId="21" borderId="0" xfId="0" applyFont="1" applyFill="1" applyAlignment="1">
      <alignment vertical="top"/>
    </xf>
    <xf numFmtId="0" fontId="29" fillId="0" borderId="26" xfId="0" applyFont="1" applyBorder="1" applyAlignment="1">
      <alignment horizontal="left" vertical="center" wrapText="1" indent="1" readingOrder="1"/>
    </xf>
    <xf numFmtId="0" fontId="28" fillId="0" borderId="26" xfId="0" applyFont="1" applyBorder="1" applyAlignment="1">
      <alignment horizontal="left" vertical="center" wrapText="1" indent="1" readingOrder="1"/>
    </xf>
    <xf numFmtId="8" fontId="28" fillId="0" borderId="26" xfId="0" applyNumberFormat="1" applyFont="1" applyBorder="1" applyAlignment="1">
      <alignment horizontal="left" vertical="center" wrapText="1" indent="1" readingOrder="1"/>
    </xf>
    <xf numFmtId="8" fontId="29" fillId="0" borderId="26" xfId="0" applyNumberFormat="1" applyFont="1" applyBorder="1" applyAlignment="1">
      <alignment horizontal="left" vertical="center" wrapText="1" indent="1" readingOrder="1"/>
    </xf>
    <xf numFmtId="8" fontId="2" fillId="2" borderId="0" xfId="0" applyNumberFormat="1" applyFont="1" applyFill="1" applyAlignment="1">
      <alignment vertical="top" wrapText="1"/>
    </xf>
    <xf numFmtId="167" fontId="22" fillId="9" borderId="0" xfId="4" applyNumberFormat="1" applyFont="1" applyFill="1" applyAlignment="1">
      <alignment vertical="top"/>
    </xf>
    <xf numFmtId="166" fontId="22" fillId="7" borderId="0" xfId="0" applyNumberFormat="1" applyFont="1" applyFill="1" applyAlignment="1">
      <alignment horizontal="center" vertical="top"/>
    </xf>
    <xf numFmtId="44" fontId="22" fillId="7" borderId="0" xfId="4" applyFont="1" applyFill="1" applyAlignment="1">
      <alignment horizontal="center" vertical="top"/>
    </xf>
    <xf numFmtId="166" fontId="22" fillId="4" borderId="0" xfId="0" applyNumberFormat="1" applyFont="1" applyFill="1" applyAlignment="1">
      <alignment horizontal="center" vertical="top"/>
    </xf>
    <xf numFmtId="44" fontId="2" fillId="2" borderId="0" xfId="4" applyFont="1" applyFill="1" applyAlignment="1">
      <alignment vertical="top"/>
    </xf>
    <xf numFmtId="44" fontId="0" fillId="0" borderId="0" xfId="6" applyFont="1"/>
    <xf numFmtId="0" fontId="26" fillId="25" borderId="0" xfId="0" applyFont="1" applyFill="1" applyAlignment="1">
      <alignment vertical="top"/>
    </xf>
    <xf numFmtId="166" fontId="26" fillId="25" borderId="0" xfId="0" applyNumberFormat="1" applyFont="1" applyFill="1"/>
    <xf numFmtId="44" fontId="26" fillId="25" borderId="0" xfId="4" applyFont="1" applyFill="1" applyAlignment="1">
      <alignment vertical="top"/>
    </xf>
    <xf numFmtId="0" fontId="26" fillId="31" borderId="0" xfId="0" applyFont="1" applyFill="1" applyAlignment="1">
      <alignment vertical="top"/>
    </xf>
    <xf numFmtId="166" fontId="26" fillId="31" borderId="0" xfId="0" applyNumberFormat="1" applyFont="1" applyFill="1" applyAlignment="1">
      <alignment vertical="top"/>
    </xf>
    <xf numFmtId="44" fontId="26" fillId="31" borderId="0" xfId="4" applyFont="1" applyFill="1" applyAlignment="1">
      <alignment vertical="top"/>
    </xf>
    <xf numFmtId="10" fontId="5" fillId="2" borderId="1" xfId="0" applyNumberFormat="1" applyFont="1" applyFill="1" applyBorder="1" applyAlignment="1">
      <alignment vertical="top"/>
    </xf>
    <xf numFmtId="166" fontId="3" fillId="31" borderId="0" xfId="0" applyNumberFormat="1" applyFont="1" applyFill="1" applyAlignment="1">
      <alignment vertical="top"/>
    </xf>
    <xf numFmtId="44" fontId="11" fillId="24" borderId="20" xfId="4" applyFont="1" applyFill="1" applyBorder="1" applyAlignment="1">
      <alignment horizontal="center" vertical="top"/>
    </xf>
    <xf numFmtId="167" fontId="11" fillId="9" borderId="1" xfId="0" applyNumberFormat="1" applyFont="1" applyFill="1" applyBorder="1" applyAlignment="1">
      <alignment horizontal="center" vertical="top"/>
    </xf>
    <xf numFmtId="167" fontId="11" fillId="9" borderId="16" xfId="0" applyNumberFormat="1" applyFont="1" applyFill="1" applyBorder="1" applyAlignment="1">
      <alignment horizontal="center" vertical="top"/>
    </xf>
    <xf numFmtId="167" fontId="11" fillId="2" borderId="0" xfId="0" applyNumberFormat="1" applyFont="1" applyFill="1" applyAlignment="1">
      <alignment horizontal="center" vertical="top"/>
    </xf>
    <xf numFmtId="167" fontId="11" fillId="2" borderId="0" xfId="4" applyNumberFormat="1" applyFont="1" applyFill="1" applyAlignment="1">
      <alignment horizontal="center" vertical="top"/>
    </xf>
    <xf numFmtId="167" fontId="13" fillId="2" borderId="0" xfId="0" applyNumberFormat="1" applyFont="1" applyFill="1" applyAlignment="1">
      <alignment horizontal="center" vertical="top"/>
    </xf>
    <xf numFmtId="0" fontId="14" fillId="2" borderId="0" xfId="0" applyFont="1" applyFill="1" applyAlignment="1">
      <alignment vertical="top"/>
    </xf>
    <xf numFmtId="0" fontId="24" fillId="2" borderId="0" xfId="0" applyFont="1" applyFill="1" applyAlignment="1">
      <alignment vertical="center"/>
    </xf>
    <xf numFmtId="0" fontId="18" fillId="2" borderId="0" xfId="0" applyFont="1" applyFill="1"/>
    <xf numFmtId="0" fontId="19" fillId="2" borderId="0" xfId="0" applyFont="1" applyFill="1" applyAlignment="1">
      <alignment horizontal="center" vertical="center" wrapText="1"/>
    </xf>
    <xf numFmtId="4" fontId="24" fillId="2" borderId="0" xfId="0" applyNumberFormat="1" applyFont="1" applyFill="1" applyAlignment="1">
      <alignment horizontal="right" vertical="center"/>
    </xf>
    <xf numFmtId="166" fontId="10" fillId="2" borderId="0" xfId="0" applyNumberFormat="1" applyFont="1" applyFill="1" applyAlignment="1">
      <alignment horizontal="right" vertical="top" wrapText="1"/>
    </xf>
    <xf numFmtId="166" fontId="11" fillId="2" borderId="0" xfId="0" applyNumberFormat="1" applyFont="1" applyFill="1" applyAlignment="1">
      <alignment vertical="top"/>
    </xf>
    <xf numFmtId="10" fontId="11" fillId="2" borderId="0" xfId="0" applyNumberFormat="1" applyFont="1" applyFill="1" applyAlignment="1">
      <alignment horizontal="center" vertical="top"/>
    </xf>
    <xf numFmtId="10" fontId="12" fillId="2" borderId="0" xfId="0" applyNumberFormat="1" applyFont="1" applyFill="1" applyAlignment="1">
      <alignment horizontal="center" vertical="top" wrapText="1"/>
    </xf>
    <xf numFmtId="166" fontId="13" fillId="2" borderId="0" xfId="0" applyNumberFormat="1" applyFont="1" applyFill="1" applyAlignment="1">
      <alignment vertical="top"/>
    </xf>
    <xf numFmtId="0" fontId="14" fillId="0" borderId="0" xfId="0" applyFont="1" applyAlignment="1">
      <alignment horizontal="center" vertical="center"/>
    </xf>
    <xf numFmtId="0" fontId="31" fillId="32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32" fillId="0" borderId="32" xfId="0" applyFont="1" applyBorder="1" applyAlignment="1">
      <alignment vertical="center"/>
    </xf>
    <xf numFmtId="0" fontId="15" fillId="33" borderId="32" xfId="0" applyFont="1" applyFill="1" applyBorder="1" applyAlignment="1">
      <alignment horizontal="left" vertical="center"/>
    </xf>
    <xf numFmtId="0" fontId="15" fillId="33" borderId="32" xfId="0" applyFont="1" applyFill="1" applyBorder="1" applyAlignment="1">
      <alignment horizontal="left" vertical="center" wrapText="1"/>
    </xf>
    <xf numFmtId="0" fontId="15" fillId="33" borderId="32" xfId="0" applyFont="1" applyFill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/>
    </xf>
    <xf numFmtId="0" fontId="14" fillId="0" borderId="32" xfId="0" applyFont="1" applyBorder="1" applyAlignment="1">
      <alignment vertical="center"/>
    </xf>
    <xf numFmtId="0" fontId="14" fillId="7" borderId="32" xfId="0" applyFont="1" applyFill="1" applyBorder="1" applyAlignment="1">
      <alignment vertical="center"/>
    </xf>
    <xf numFmtId="165" fontId="14" fillId="22" borderId="32" xfId="2" applyNumberFormat="1" applyFont="1" applyFill="1" applyBorder="1" applyAlignment="1">
      <alignment horizontal="center" vertical="center"/>
    </xf>
    <xf numFmtId="165" fontId="14" fillId="10" borderId="32" xfId="2" applyNumberFormat="1" applyFont="1" applyFill="1" applyBorder="1" applyAlignment="1">
      <alignment horizontal="center" vertical="center"/>
    </xf>
    <xf numFmtId="10" fontId="14" fillId="4" borderId="32" xfId="2" applyNumberFormat="1" applyFont="1" applyFill="1" applyBorder="1" applyAlignment="1">
      <alignment horizontal="center" vertical="center"/>
    </xf>
    <xf numFmtId="44" fontId="14" fillId="0" borderId="32" xfId="4" applyFont="1" applyBorder="1" applyAlignment="1">
      <alignment vertical="center"/>
    </xf>
    <xf numFmtId="44" fontId="14" fillId="29" borderId="32" xfId="4" applyFont="1" applyFill="1" applyBorder="1" applyAlignment="1">
      <alignment vertical="center"/>
    </xf>
    <xf numFmtId="44" fontId="14" fillId="0" borderId="32" xfId="0" applyNumberFormat="1" applyFont="1" applyBorder="1" applyAlignment="1">
      <alignment vertical="center"/>
    </xf>
    <xf numFmtId="44" fontId="14" fillId="22" borderId="32" xfId="0" applyNumberFormat="1" applyFont="1" applyFill="1" applyBorder="1" applyAlignment="1">
      <alignment vertical="center"/>
    </xf>
    <xf numFmtId="44" fontId="14" fillId="10" borderId="32" xfId="0" applyNumberFormat="1" applyFont="1" applyFill="1" applyBorder="1" applyAlignment="1">
      <alignment vertical="center"/>
    </xf>
    <xf numFmtId="44" fontId="14" fillId="4" borderId="32" xfId="0" applyNumberFormat="1" applyFont="1" applyFill="1" applyBorder="1" applyAlignment="1">
      <alignment vertical="center"/>
    </xf>
    <xf numFmtId="14" fontId="15" fillId="33" borderId="32" xfId="0" applyNumberFormat="1" applyFont="1" applyFill="1" applyBorder="1" applyAlignment="1">
      <alignment horizontal="left" vertical="center"/>
    </xf>
    <xf numFmtId="0" fontId="14" fillId="27" borderId="0" xfId="0" applyFont="1" applyFill="1" applyAlignment="1">
      <alignment vertical="center"/>
    </xf>
    <xf numFmtId="0" fontId="30" fillId="0" borderId="32" xfId="0" applyFont="1" applyBorder="1" applyAlignment="1" applyProtection="1">
      <alignment horizontal="center" vertical="center" wrapText="1"/>
      <protection hidden="1"/>
    </xf>
    <xf numFmtId="0" fontId="33" fillId="0" borderId="32" xfId="0" applyFont="1" applyBorder="1" applyAlignment="1">
      <alignment horizontal="left" vertical="center" wrapText="1"/>
    </xf>
    <xf numFmtId="44" fontId="14" fillId="0" borderId="32" xfId="0" applyNumberFormat="1" applyFont="1" applyBorder="1" applyAlignment="1">
      <alignment vertical="center" wrapText="1"/>
    </xf>
    <xf numFmtId="10" fontId="14" fillId="0" borderId="32" xfId="0" applyNumberFormat="1" applyFont="1" applyBorder="1" applyAlignment="1">
      <alignment vertical="center"/>
    </xf>
    <xf numFmtId="0" fontId="14" fillId="0" borderId="32" xfId="0" applyFont="1" applyBorder="1" applyAlignment="1">
      <alignment vertical="center" wrapText="1"/>
    </xf>
    <xf numFmtId="0" fontId="21" fillId="0" borderId="32" xfId="0" applyFont="1" applyBorder="1" applyAlignment="1">
      <alignment horizontal="left" vertical="center" wrapText="1"/>
    </xf>
    <xf numFmtId="0" fontId="14" fillId="27" borderId="32" xfId="0" applyFont="1" applyFill="1" applyBorder="1" applyAlignment="1">
      <alignment horizontal="center" vertical="center"/>
    </xf>
    <xf numFmtId="0" fontId="14" fillId="27" borderId="32" xfId="0" applyFont="1" applyFill="1" applyBorder="1" applyAlignment="1">
      <alignment vertical="center" wrapText="1"/>
    </xf>
    <xf numFmtId="0" fontId="30" fillId="27" borderId="32" xfId="0" applyFont="1" applyFill="1" applyBorder="1" applyAlignment="1" applyProtection="1">
      <alignment horizontal="center" vertical="center" wrapText="1"/>
      <protection hidden="1"/>
    </xf>
    <xf numFmtId="0" fontId="33" fillId="27" borderId="32" xfId="0" applyFont="1" applyFill="1" applyBorder="1" applyAlignment="1">
      <alignment horizontal="left" vertical="center" wrapText="1"/>
    </xf>
    <xf numFmtId="44" fontId="14" fillId="27" borderId="32" xfId="0" applyNumberFormat="1" applyFont="1" applyFill="1" applyBorder="1" applyAlignment="1">
      <alignment vertical="center" wrapText="1"/>
    </xf>
    <xf numFmtId="10" fontId="14" fillId="27" borderId="32" xfId="0" applyNumberFormat="1" applyFont="1" applyFill="1" applyBorder="1" applyAlignment="1">
      <alignment vertical="center"/>
    </xf>
    <xf numFmtId="0" fontId="33" fillId="0" borderId="32" xfId="0" applyFont="1" applyBorder="1" applyAlignment="1">
      <alignment horizontal="left" vertical="center"/>
    </xf>
    <xf numFmtId="0" fontId="17" fillId="0" borderId="32" xfId="0" applyFont="1" applyBorder="1" applyAlignment="1">
      <alignment horizontal="center"/>
    </xf>
    <xf numFmtId="44" fontId="2" fillId="21" borderId="0" xfId="0" applyNumberFormat="1" applyFont="1" applyFill="1" applyAlignment="1">
      <alignment vertical="top"/>
    </xf>
    <xf numFmtId="44" fontId="2" fillId="2" borderId="0" xfId="0" applyNumberFormat="1" applyFont="1" applyFill="1" applyAlignment="1">
      <alignment vertical="top"/>
    </xf>
    <xf numFmtId="0" fontId="11" fillId="4" borderId="3" xfId="0" applyFont="1" applyFill="1" applyBorder="1" applyAlignment="1">
      <alignment horizontal="center" vertical="top"/>
    </xf>
    <xf numFmtId="0" fontId="0" fillId="0" borderId="5" xfId="0" applyBorder="1"/>
    <xf numFmtId="0" fontId="0" fillId="0" borderId="2" xfId="0" applyBorder="1"/>
    <xf numFmtId="0" fontId="11" fillId="8" borderId="4" xfId="0" applyFont="1" applyFill="1" applyBorder="1" applyAlignment="1">
      <alignment horizontal="center" vertical="top"/>
    </xf>
    <xf numFmtId="0" fontId="13" fillId="0" borderId="4" xfId="0" applyFont="1" applyBorder="1" applyAlignment="1">
      <alignment horizontal="center" vertical="top"/>
    </xf>
    <xf numFmtId="0" fontId="11" fillId="7" borderId="8" xfId="0" applyFont="1" applyFill="1" applyBorder="1" applyAlignment="1">
      <alignment horizontal="center" vertical="top"/>
    </xf>
    <xf numFmtId="0" fontId="0" fillId="0" borderId="6" xfId="0" applyBorder="1"/>
    <xf numFmtId="0" fontId="0" fillId="0" borderId="8" xfId="0" applyBorder="1"/>
    <xf numFmtId="0" fontId="13" fillId="11" borderId="25" xfId="0" applyFont="1" applyFill="1" applyBorder="1" applyAlignment="1">
      <alignment horizontal="center" vertical="top"/>
    </xf>
    <xf numFmtId="0" fontId="13" fillId="4" borderId="7" xfId="0" applyFont="1" applyFill="1" applyBorder="1" applyAlignment="1">
      <alignment horizontal="center" vertical="top"/>
    </xf>
    <xf numFmtId="0" fontId="13" fillId="26" borderId="4" xfId="0" applyFont="1" applyFill="1" applyBorder="1" applyAlignment="1">
      <alignment horizontal="center" vertical="top"/>
    </xf>
    <xf numFmtId="0" fontId="14" fillId="0" borderId="32" xfId="0" applyFont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0" fillId="0" borderId="37" xfId="0" applyBorder="1"/>
    <xf numFmtId="0" fontId="32" fillId="20" borderId="32" xfId="0" applyFont="1" applyFill="1" applyBorder="1" applyAlignment="1">
      <alignment horizontal="center" vertic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6" xfId="0" applyBorder="1"/>
    <xf numFmtId="0" fontId="32" fillId="5" borderId="32" xfId="0" applyFont="1" applyFill="1" applyBorder="1" applyAlignment="1">
      <alignment horizontal="center" vertical="center"/>
    </xf>
    <xf numFmtId="0" fontId="32" fillId="10" borderId="32" xfId="0" applyFont="1" applyFill="1" applyBorder="1" applyAlignment="1">
      <alignment horizontal="center" vertical="center"/>
    </xf>
  </cellXfs>
  <cellStyles count="8">
    <cellStyle name="Millares" xfId="3" builtinId="3"/>
    <cellStyle name="Moneda" xfId="4" builtinId="4"/>
    <cellStyle name="Moneda 2" xfId="6" xr:uid="{00000000-0005-0000-0000-000007000000}"/>
    <cellStyle name="Moneda 3" xfId="5" xr:uid="{00000000-0005-0000-0000-000006000000}"/>
    <cellStyle name="Normal" xfId="0" builtinId="0"/>
    <cellStyle name="Normal 2" xfId="1" xr:uid="{00000000-0005-0000-0000-000001000000}"/>
    <cellStyle name="Normal 3" xfId="7" xr:uid="{00000000-0005-0000-0000-000008000000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K62"/>
  <sheetViews>
    <sheetView topLeftCell="Y27" zoomScale="85" zoomScaleNormal="85" workbookViewId="0">
      <selection activeCell="AA46" sqref="AA46"/>
    </sheetView>
  </sheetViews>
  <sheetFormatPr baseColWidth="10" defaultColWidth="8.77734375" defaultRowHeight="15.6"/>
  <cols>
    <col min="1" max="1" width="4.77734375" style="28" customWidth="1"/>
    <col min="2" max="2" width="3.77734375" style="29" bestFit="1" customWidth="1"/>
    <col min="3" max="3" width="14.21875" style="29" customWidth="1"/>
    <col min="4" max="4" width="67.77734375" style="30" customWidth="1"/>
    <col min="5" max="5" width="10.21875" style="30" bestFit="1" customWidth="1"/>
    <col min="6" max="6" width="8.88671875" style="28" bestFit="1" customWidth="1"/>
    <col min="7" max="7" width="14.109375" style="39" bestFit="1" customWidth="1"/>
    <col min="8" max="8" width="13.5546875" style="39" bestFit="1" customWidth="1"/>
    <col min="9" max="9" width="16.33203125" style="39" bestFit="1" customWidth="1"/>
    <col min="10" max="10" width="15" style="39" bestFit="1" customWidth="1"/>
    <col min="11" max="11" width="11.77734375" style="28" bestFit="1" customWidth="1"/>
    <col min="12" max="12" width="8.21875" style="28" bestFit="1" customWidth="1"/>
    <col min="13" max="13" width="9.88671875" style="28" bestFit="1" customWidth="1"/>
    <col min="14" max="14" width="15" style="28" bestFit="1" customWidth="1"/>
    <col min="15" max="15" width="18.88671875" style="28" bestFit="1" customWidth="1"/>
    <col min="16" max="16" width="14" style="28" bestFit="1" customWidth="1"/>
    <col min="17" max="17" width="14.109375" style="28" bestFit="1" customWidth="1"/>
    <col min="18" max="18" width="11.77734375" style="28" bestFit="1" customWidth="1"/>
    <col min="19" max="19" width="12.109375" style="28" bestFit="1" customWidth="1"/>
    <col min="20" max="21" width="21.6640625" style="28" bestFit="1" customWidth="1"/>
    <col min="22" max="23" width="12.77734375" style="28" bestFit="1" customWidth="1"/>
    <col min="24" max="24" width="16.6640625" style="28" bestFit="1" customWidth="1"/>
    <col min="25" max="25" width="15.6640625" style="28" bestFit="1" customWidth="1"/>
    <col min="26" max="26" width="17.21875" style="28" bestFit="1" customWidth="1"/>
    <col min="27" max="28" width="12.77734375" style="28" bestFit="1" customWidth="1"/>
    <col min="29" max="29" width="17.44140625" style="28" customWidth="1"/>
    <col min="30" max="30" width="13" style="31" bestFit="1" customWidth="1"/>
    <col min="31" max="31" width="12.109375" style="31" bestFit="1" customWidth="1"/>
    <col min="32" max="32" width="15.5546875" style="31" bestFit="1" customWidth="1"/>
    <col min="33" max="33" width="24.88671875" style="31" customWidth="1"/>
    <col min="34" max="34" width="23.44140625" style="31" customWidth="1"/>
    <col min="35" max="35" width="25.44140625" style="31" customWidth="1"/>
    <col min="36" max="36" width="28.77734375" style="31" customWidth="1"/>
    <col min="37" max="37" width="18.88671875" style="31" bestFit="1" customWidth="1"/>
    <col min="38" max="38" width="8.77734375" style="31" customWidth="1"/>
    <col min="39" max="16384" width="8.77734375" style="31"/>
  </cols>
  <sheetData>
    <row r="1" spans="1:37" ht="16.2" customHeight="1" thickBot="1">
      <c r="G1" s="236" t="s">
        <v>0</v>
      </c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8"/>
      <c r="V1" s="239" t="s">
        <v>1</v>
      </c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</row>
    <row r="2" spans="1:37" ht="21.6" customHeight="1" thickBot="1">
      <c r="D2" s="98" t="s">
        <v>2</v>
      </c>
      <c r="G2" s="244" t="s">
        <v>3</v>
      </c>
      <c r="H2" s="242"/>
      <c r="I2" s="242"/>
      <c r="J2" s="242"/>
      <c r="K2" s="242"/>
      <c r="L2" s="242"/>
      <c r="M2" s="242"/>
      <c r="N2" s="242"/>
      <c r="O2" s="243"/>
      <c r="P2" s="245" t="s">
        <v>4</v>
      </c>
      <c r="Q2" s="242"/>
      <c r="R2" s="242"/>
      <c r="S2" s="242"/>
      <c r="T2" s="242"/>
      <c r="U2" s="242"/>
      <c r="V2" s="240" t="s">
        <v>5</v>
      </c>
      <c r="W2" s="237"/>
      <c r="X2" s="237"/>
      <c r="Y2" s="237"/>
      <c r="Z2" s="237"/>
      <c r="AA2" s="237"/>
      <c r="AB2" s="237"/>
      <c r="AC2" s="237"/>
      <c r="AD2" s="241" t="s">
        <v>6</v>
      </c>
      <c r="AE2" s="242"/>
      <c r="AF2" s="242"/>
      <c r="AG2" s="242"/>
      <c r="AH2" s="242"/>
      <c r="AI2" s="242"/>
      <c r="AJ2" s="243"/>
    </row>
    <row r="3" spans="1:37" s="28" customFormat="1" ht="42" customHeight="1" thickBot="1">
      <c r="A3" s="99" t="s">
        <v>7</v>
      </c>
      <c r="B3" s="99" t="s">
        <v>8</v>
      </c>
      <c r="C3" s="100" t="s">
        <v>9</v>
      </c>
      <c r="D3" s="99" t="s">
        <v>10</v>
      </c>
      <c r="E3" s="101" t="s">
        <v>11</v>
      </c>
      <c r="F3" s="102" t="s">
        <v>12</v>
      </c>
      <c r="G3" s="103" t="s">
        <v>13</v>
      </c>
      <c r="H3" s="32" t="s">
        <v>14</v>
      </c>
      <c r="I3" s="33" t="s">
        <v>15</v>
      </c>
      <c r="J3" s="34" t="s">
        <v>16</v>
      </c>
      <c r="K3" s="34" t="s">
        <v>17</v>
      </c>
      <c r="L3" s="35" t="s">
        <v>18</v>
      </c>
      <c r="M3" s="35" t="s">
        <v>19</v>
      </c>
      <c r="N3" s="36" t="s">
        <v>20</v>
      </c>
      <c r="O3" s="40" t="s">
        <v>21</v>
      </c>
      <c r="P3" s="37" t="s">
        <v>22</v>
      </c>
      <c r="Q3" s="33" t="s">
        <v>23</v>
      </c>
      <c r="R3" s="34" t="s">
        <v>24</v>
      </c>
      <c r="S3" s="35" t="s">
        <v>25</v>
      </c>
      <c r="T3" s="38" t="s">
        <v>26</v>
      </c>
      <c r="U3" s="53" t="s">
        <v>27</v>
      </c>
      <c r="V3" s="104" t="s">
        <v>28</v>
      </c>
      <c r="W3" s="105" t="s">
        <v>29</v>
      </c>
      <c r="X3" s="105" t="s">
        <v>30</v>
      </c>
      <c r="Y3" s="106" t="s">
        <v>31</v>
      </c>
      <c r="Z3" s="107" t="s">
        <v>32</v>
      </c>
      <c r="AA3" s="108" t="s">
        <v>33</v>
      </c>
      <c r="AB3" s="60" t="s">
        <v>34</v>
      </c>
      <c r="AC3" s="62" t="s">
        <v>35</v>
      </c>
      <c r="AD3" s="104" t="s">
        <v>36</v>
      </c>
      <c r="AE3" s="105" t="s">
        <v>37</v>
      </c>
      <c r="AF3" s="106" t="s">
        <v>38</v>
      </c>
      <c r="AG3" s="111" t="s">
        <v>39</v>
      </c>
      <c r="AH3" s="112" t="s">
        <v>24</v>
      </c>
      <c r="AI3" s="109" t="s">
        <v>40</v>
      </c>
      <c r="AJ3" s="110" t="s">
        <v>41</v>
      </c>
    </row>
    <row r="4" spans="1:37" s="52" customFormat="1" ht="21" customHeight="1">
      <c r="A4" s="44">
        <v>1</v>
      </c>
      <c r="B4" s="45" t="s">
        <v>8</v>
      </c>
      <c r="C4" s="113" t="s">
        <v>42</v>
      </c>
      <c r="D4" s="114" t="s">
        <v>43</v>
      </c>
      <c r="E4" s="74" t="s">
        <v>44</v>
      </c>
      <c r="F4" s="115">
        <v>1</v>
      </c>
      <c r="G4" s="116">
        <v>25000</v>
      </c>
      <c r="H4" s="46">
        <f>(G4*LOG_SEG)</f>
        <v>500</v>
      </c>
      <c r="I4" s="47">
        <f>G4+H4</f>
        <v>25500</v>
      </c>
      <c r="J4" s="48">
        <v>0.21</v>
      </c>
      <c r="K4" s="49">
        <f>I4*J4</f>
        <v>5355</v>
      </c>
      <c r="L4" s="50">
        <v>0</v>
      </c>
      <c r="M4" s="49">
        <f>G4*L4</f>
        <v>0</v>
      </c>
      <c r="N4" s="49">
        <f>I4+M4</f>
        <v>25500</v>
      </c>
      <c r="O4" s="49">
        <f>N4+K4</f>
        <v>30855</v>
      </c>
      <c r="P4" s="51">
        <f>H4*F4</f>
        <v>500</v>
      </c>
      <c r="Q4" s="49">
        <f>N4*F4</f>
        <v>25500</v>
      </c>
      <c r="R4" s="49">
        <f>K4*F4</f>
        <v>5355</v>
      </c>
      <c r="S4" s="49">
        <f>M4*F4</f>
        <v>0</v>
      </c>
      <c r="T4" s="49">
        <f>Q4+S4</f>
        <v>25500</v>
      </c>
      <c r="U4" s="49">
        <f>T4+R4</f>
        <v>30855</v>
      </c>
      <c r="V4" s="49">
        <f>ROUND(N4/(1-MARGEN),2)</f>
        <v>46028.88</v>
      </c>
      <c r="W4" s="49">
        <f>X4-V4</f>
        <v>10103.900000000001</v>
      </c>
      <c r="X4" s="49">
        <f>ROUND(V4/(1-(COMI1+COMI2)),2)</f>
        <v>56132.78</v>
      </c>
      <c r="Y4" s="49">
        <f>Z4-X4</f>
        <v>0</v>
      </c>
      <c r="Z4" s="49">
        <f>ROUND(X4*INFLACION,2)</f>
        <v>56132.78</v>
      </c>
      <c r="AA4" s="49">
        <f>ROUND(Z4*J4,2)</f>
        <v>11787.88</v>
      </c>
      <c r="AB4" s="182">
        <f>ROUND(Z4+AA4,2)</f>
        <v>67920.66</v>
      </c>
      <c r="AC4" s="181">
        <f>ROUND(AB4*BILLETE,2)</f>
        <v>96786940.5</v>
      </c>
      <c r="AD4" s="117">
        <f>V4*F4</f>
        <v>46028.88</v>
      </c>
      <c r="AE4" s="117">
        <f>W4*F4</f>
        <v>10103.900000000001</v>
      </c>
      <c r="AF4" s="117">
        <f>Y4*F4</f>
        <v>0</v>
      </c>
      <c r="AG4" s="49">
        <f>ROUND(Z4*F4,2)</f>
        <v>56132.78</v>
      </c>
      <c r="AH4" s="49">
        <f>ROUND(AA4*F4,2)</f>
        <v>11787.88</v>
      </c>
      <c r="AI4" s="119">
        <f>AG4+AH4</f>
        <v>67920.66</v>
      </c>
      <c r="AJ4" s="118">
        <f>AI4*BILLETE</f>
        <v>96786940.5</v>
      </c>
      <c r="AK4" s="78"/>
    </row>
    <row r="5" spans="1:37" s="52" customFormat="1" ht="21" customHeight="1">
      <c r="A5" s="44">
        <v>1</v>
      </c>
      <c r="B5" s="45" t="s">
        <v>8</v>
      </c>
      <c r="C5" s="113" t="s">
        <v>45</v>
      </c>
      <c r="D5" s="114" t="s">
        <v>46</v>
      </c>
      <c r="E5" s="74" t="s">
        <v>47</v>
      </c>
      <c r="F5" s="115">
        <v>1</v>
      </c>
      <c r="G5" s="116">
        <v>10000</v>
      </c>
      <c r="H5" s="46">
        <f>(G5*LOG_SEG)</f>
        <v>200</v>
      </c>
      <c r="I5" s="47">
        <f>G5+H5</f>
        <v>10200</v>
      </c>
      <c r="J5" s="48">
        <v>0.21</v>
      </c>
      <c r="K5" s="49">
        <f>I5*J5</f>
        <v>2142</v>
      </c>
      <c r="L5" s="50">
        <v>0</v>
      </c>
      <c r="M5" s="49">
        <f>G5*L5</f>
        <v>0</v>
      </c>
      <c r="N5" s="49">
        <f>I5+M5</f>
        <v>10200</v>
      </c>
      <c r="O5" s="49">
        <f>N5+K5</f>
        <v>12342</v>
      </c>
      <c r="P5" s="51">
        <f>H5*F5</f>
        <v>200</v>
      </c>
      <c r="Q5" s="49">
        <f>N5*F5</f>
        <v>10200</v>
      </c>
      <c r="R5" s="49">
        <f>K5*F5</f>
        <v>2142</v>
      </c>
      <c r="S5" s="49">
        <f>M5*F5</f>
        <v>0</v>
      </c>
      <c r="T5" s="49">
        <f>Q5+S5</f>
        <v>10200</v>
      </c>
      <c r="U5" s="49">
        <f>T5+R5</f>
        <v>12342</v>
      </c>
      <c r="V5" s="49">
        <f>ROUND(N5/(1-MARGEN),2)</f>
        <v>18411.55</v>
      </c>
      <c r="W5" s="49">
        <f>X5-V5</f>
        <v>4041.5600000000013</v>
      </c>
      <c r="X5" s="49">
        <f>ROUND(V5/(1-(COMI1+COMI2)),2)</f>
        <v>22453.11</v>
      </c>
      <c r="Y5" s="49">
        <f>Z5-X5</f>
        <v>0</v>
      </c>
      <c r="Z5" s="49">
        <f>ROUND(X5*INFLACION,2)</f>
        <v>22453.11</v>
      </c>
      <c r="AA5" s="49">
        <f>ROUND(Z5*J5,2)</f>
        <v>4715.1499999999996</v>
      </c>
      <c r="AB5" s="182">
        <f>ROUND(Z5+AA5,2)</f>
        <v>27168.26</v>
      </c>
      <c r="AC5" s="181">
        <f>ROUND(AB5*BILLETE,2)</f>
        <v>38714770.5</v>
      </c>
      <c r="AD5" s="117">
        <f>V5*F5</f>
        <v>18411.55</v>
      </c>
      <c r="AE5" s="117">
        <f>W5*F5</f>
        <v>4041.5600000000013</v>
      </c>
      <c r="AF5" s="117">
        <f>Y5*F5</f>
        <v>0</v>
      </c>
      <c r="AG5" s="49">
        <f>ROUND(Z5*F5,2)</f>
        <v>22453.11</v>
      </c>
      <c r="AH5" s="49">
        <f>ROUND(AA5*F5,2)</f>
        <v>4715.1499999999996</v>
      </c>
      <c r="AI5" s="119">
        <f>AG5+AH5</f>
        <v>27168.260000000002</v>
      </c>
      <c r="AJ5" s="118">
        <f>AI5*BILLETE</f>
        <v>38714770.5</v>
      </c>
      <c r="AK5" s="78"/>
    </row>
    <row r="6" spans="1:37" s="52" customFormat="1" ht="21" customHeight="1">
      <c r="A6" s="41"/>
      <c r="B6" s="187"/>
      <c r="C6" s="188"/>
      <c r="D6" s="98"/>
      <c r="E6" s="189"/>
      <c r="F6" s="190"/>
      <c r="G6" s="191"/>
      <c r="H6" s="192"/>
      <c r="I6" s="193"/>
      <c r="J6" s="194"/>
      <c r="K6" s="184"/>
      <c r="L6" s="195"/>
      <c r="M6" s="184"/>
      <c r="N6" s="184"/>
      <c r="O6" s="184"/>
      <c r="P6" s="196"/>
      <c r="Q6" s="184"/>
      <c r="R6" s="184"/>
      <c r="S6" s="184"/>
      <c r="T6" s="91">
        <f>SUM(T4:T5)</f>
        <v>35700</v>
      </c>
      <c r="U6" s="167">
        <f>SUM(U4:U5)</f>
        <v>43197</v>
      </c>
      <c r="V6" s="184"/>
      <c r="W6" s="184"/>
      <c r="X6" s="184"/>
      <c r="Y6" s="184"/>
      <c r="Z6" s="184"/>
      <c r="AA6" s="184"/>
      <c r="AB6" s="184"/>
      <c r="AC6" s="185"/>
      <c r="AD6" s="186"/>
      <c r="AE6" s="186"/>
      <c r="AF6" s="186"/>
      <c r="AG6" s="80">
        <f>SUM(AG4:AG5)</f>
        <v>78585.89</v>
      </c>
      <c r="AH6" s="80">
        <f>SUM(AH4:AH5)</f>
        <v>16503.03</v>
      </c>
      <c r="AI6" s="80">
        <f>SUM(AI4:AI5)</f>
        <v>95088.920000000013</v>
      </c>
      <c r="AJ6" s="81">
        <f>SUM(AJ4:AJ5)</f>
        <v>135501711</v>
      </c>
      <c r="AK6" s="78"/>
    </row>
    <row r="7" spans="1:37" ht="16.2" customHeight="1" thickBot="1"/>
    <row r="8" spans="1:37" ht="16.2" customHeight="1" thickBot="1">
      <c r="G8" s="236" t="s">
        <v>0</v>
      </c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8"/>
      <c r="V8" s="239" t="s">
        <v>1</v>
      </c>
      <c r="W8" s="237"/>
      <c r="X8" s="237"/>
      <c r="Y8" s="237"/>
      <c r="Z8" s="237"/>
      <c r="AA8" s="237"/>
      <c r="AB8" s="237"/>
      <c r="AC8" s="237"/>
      <c r="AD8" s="237"/>
      <c r="AE8" s="237"/>
      <c r="AF8" s="237"/>
      <c r="AG8" s="237"/>
      <c r="AH8" s="237"/>
      <c r="AI8" s="237"/>
      <c r="AJ8" s="237"/>
    </row>
    <row r="9" spans="1:37" ht="21.6" customHeight="1" thickBot="1">
      <c r="D9" s="98" t="s">
        <v>48</v>
      </c>
      <c r="G9" s="244" t="s">
        <v>3</v>
      </c>
      <c r="H9" s="242"/>
      <c r="I9" s="242"/>
      <c r="J9" s="242"/>
      <c r="K9" s="242"/>
      <c r="L9" s="242"/>
      <c r="M9" s="242"/>
      <c r="N9" s="242"/>
      <c r="O9" s="243"/>
      <c r="P9" s="245" t="s">
        <v>4</v>
      </c>
      <c r="Q9" s="242"/>
      <c r="R9" s="242"/>
      <c r="S9" s="242"/>
      <c r="T9" s="242"/>
      <c r="U9" s="242"/>
      <c r="V9" s="246" t="s">
        <v>5</v>
      </c>
      <c r="W9" s="237"/>
      <c r="X9" s="237"/>
      <c r="Y9" s="237"/>
      <c r="Z9" s="237"/>
      <c r="AA9" s="237"/>
      <c r="AB9" s="237"/>
      <c r="AC9" s="237"/>
      <c r="AD9" s="241" t="s">
        <v>6</v>
      </c>
      <c r="AE9" s="242"/>
      <c r="AF9" s="242"/>
      <c r="AG9" s="242"/>
      <c r="AH9" s="242"/>
      <c r="AI9" s="242"/>
      <c r="AJ9" s="243"/>
    </row>
    <row r="10" spans="1:37" s="28" customFormat="1" ht="42" customHeight="1" thickBot="1">
      <c r="A10" s="69" t="s">
        <v>7</v>
      </c>
      <c r="B10" s="69" t="s">
        <v>8</v>
      </c>
      <c r="C10" s="71" t="s">
        <v>9</v>
      </c>
      <c r="D10" s="69" t="s">
        <v>10</v>
      </c>
      <c r="E10" s="73" t="s">
        <v>11</v>
      </c>
      <c r="F10" s="72" t="s">
        <v>12</v>
      </c>
      <c r="G10" s="70" t="s">
        <v>13</v>
      </c>
      <c r="H10" s="32" t="s">
        <v>14</v>
      </c>
      <c r="I10" s="33" t="s">
        <v>15</v>
      </c>
      <c r="J10" s="34" t="s">
        <v>16</v>
      </c>
      <c r="K10" s="34" t="s">
        <v>17</v>
      </c>
      <c r="L10" s="35" t="s">
        <v>18</v>
      </c>
      <c r="M10" s="35" t="s">
        <v>19</v>
      </c>
      <c r="N10" s="36" t="s">
        <v>20</v>
      </c>
      <c r="O10" s="40" t="s">
        <v>21</v>
      </c>
      <c r="P10" s="37" t="s">
        <v>22</v>
      </c>
      <c r="Q10" s="33" t="s">
        <v>23</v>
      </c>
      <c r="R10" s="34" t="s">
        <v>24</v>
      </c>
      <c r="S10" s="35" t="s">
        <v>25</v>
      </c>
      <c r="T10" s="38" t="s">
        <v>26</v>
      </c>
      <c r="U10" s="53" t="s">
        <v>27</v>
      </c>
      <c r="V10" s="57" t="s">
        <v>28</v>
      </c>
      <c r="W10" s="58" t="s">
        <v>29</v>
      </c>
      <c r="X10" s="58" t="s">
        <v>30</v>
      </c>
      <c r="Y10" s="59" t="s">
        <v>31</v>
      </c>
      <c r="Z10" s="60" t="s">
        <v>32</v>
      </c>
      <c r="AA10" s="61" t="s">
        <v>33</v>
      </c>
      <c r="AB10" s="60" t="s">
        <v>34</v>
      </c>
      <c r="AC10" s="62" t="s">
        <v>35</v>
      </c>
      <c r="AD10" s="57" t="s">
        <v>36</v>
      </c>
      <c r="AE10" s="58" t="s">
        <v>37</v>
      </c>
      <c r="AF10" s="59" t="s">
        <v>38</v>
      </c>
      <c r="AG10" s="67" t="s">
        <v>39</v>
      </c>
      <c r="AH10" s="68" t="s">
        <v>24</v>
      </c>
      <c r="AI10" s="62" t="s">
        <v>40</v>
      </c>
      <c r="AJ10" s="63" t="s">
        <v>41</v>
      </c>
    </row>
    <row r="11" spans="1:37" s="52" customFormat="1" ht="16.2" customHeight="1" thickBot="1">
      <c r="A11" s="44">
        <v>1</v>
      </c>
      <c r="B11" s="45" t="s">
        <v>8</v>
      </c>
      <c r="C11" s="93" t="s">
        <v>49</v>
      </c>
      <c r="D11" s="94" t="s">
        <v>50</v>
      </c>
      <c r="E11" s="74" t="s">
        <v>51</v>
      </c>
      <c r="F11" s="86">
        <v>10</v>
      </c>
      <c r="G11" s="82">
        <v>1109</v>
      </c>
      <c r="H11" s="46">
        <f t="shared" ref="H11:H16" si="0">(G11*LOG_SEG)</f>
        <v>22.18</v>
      </c>
      <c r="I11" s="47">
        <f t="shared" ref="I11:I16" si="1">G11+H11</f>
        <v>1131.18</v>
      </c>
      <c r="J11" s="48">
        <v>0.105</v>
      </c>
      <c r="K11" s="49">
        <f t="shared" ref="K11:K16" si="2">I11*J11</f>
        <v>118.7739</v>
      </c>
      <c r="L11" s="50">
        <v>0</v>
      </c>
      <c r="M11" s="49">
        <f t="shared" ref="M11:M16" si="3">G11*L11</f>
        <v>0</v>
      </c>
      <c r="N11" s="49">
        <f t="shared" ref="N11:N16" si="4">I11+M11</f>
        <v>1131.18</v>
      </c>
      <c r="O11" s="49">
        <f t="shared" ref="O11:O16" si="5">N11+K11</f>
        <v>1249.9539</v>
      </c>
      <c r="P11" s="51">
        <f t="shared" ref="P11:P16" si="6">H11*F11</f>
        <v>221.8</v>
      </c>
      <c r="Q11" s="49">
        <f t="shared" ref="Q11:Q16" si="7">N11*F11</f>
        <v>11311.800000000001</v>
      </c>
      <c r="R11" s="49">
        <f t="shared" ref="R11:R16" si="8">K11*F11</f>
        <v>1187.739</v>
      </c>
      <c r="S11" s="49">
        <f t="shared" ref="S11:S16" si="9">M11*F11</f>
        <v>0</v>
      </c>
      <c r="T11" s="49">
        <f t="shared" ref="T11:T16" si="10">Q11+S11</f>
        <v>11311.800000000001</v>
      </c>
      <c r="U11" s="54">
        <f t="shared" ref="U11:U16" si="11">T11+R11</f>
        <v>12499.539000000001</v>
      </c>
      <c r="V11" s="55">
        <f t="shared" ref="V11:V16" si="12">ROUND(N11/(1-MARGEN),2)</f>
        <v>2041.84</v>
      </c>
      <c r="W11" s="56">
        <f t="shared" ref="W11:W16" si="13">X11-V11</f>
        <v>448.21000000000026</v>
      </c>
      <c r="X11" s="56">
        <f t="shared" ref="X11:X16" si="14">ROUND(V11/(1-(COMI1+COMI2)),2)</f>
        <v>2490.0500000000002</v>
      </c>
      <c r="Y11" s="56">
        <f t="shared" ref="Y11:Y16" si="15">Z11-X11</f>
        <v>0</v>
      </c>
      <c r="Z11" s="56">
        <f t="shared" ref="Z11:Z16" si="16">ROUND(X11*INFLACION,2)</f>
        <v>2490.0500000000002</v>
      </c>
      <c r="AA11" s="56">
        <f t="shared" ref="AA11:AA16" si="17">ROUND(Z11*J11,2)</f>
        <v>261.45999999999998</v>
      </c>
      <c r="AB11" s="183">
        <f t="shared" ref="AB11:AB16" si="18">ROUND(Z11+AA11,2)</f>
        <v>2751.51</v>
      </c>
      <c r="AC11" s="181">
        <f t="shared" ref="AC11:AC16" si="19">ROUND(AB11*BILLETE,2)</f>
        <v>3920901.75</v>
      </c>
      <c r="AD11" s="65">
        <f t="shared" ref="AD11:AD16" si="20">V11*F11</f>
        <v>20418.399999999998</v>
      </c>
      <c r="AE11" s="66">
        <f t="shared" ref="AE11:AE16" si="21">W11*F11</f>
        <v>4482.1000000000022</v>
      </c>
      <c r="AF11" s="66">
        <f t="shared" ref="AF11:AF16" si="22">Y11*F11</f>
        <v>0</v>
      </c>
      <c r="AG11" s="56">
        <f t="shared" ref="AG11:AG16" si="23">ROUND(Z11*F11,2)</f>
        <v>24900.5</v>
      </c>
      <c r="AH11" s="56">
        <f t="shared" ref="AH11:AH16" si="24">ROUND(AA11*F11,2)</f>
        <v>2614.6</v>
      </c>
      <c r="AI11" s="75">
        <f t="shared" ref="AI11:AI16" si="25">AG11+AH11</f>
        <v>27515.1</v>
      </c>
      <c r="AJ11" s="64">
        <f t="shared" ref="AJ11:AJ16" si="26">AI11*BILLETE</f>
        <v>39209017.5</v>
      </c>
      <c r="AK11" s="78"/>
    </row>
    <row r="12" spans="1:37" s="52" customFormat="1" ht="16.2" customHeight="1" thickBot="1">
      <c r="A12" s="44">
        <v>2</v>
      </c>
      <c r="B12" s="45" t="s">
        <v>8</v>
      </c>
      <c r="C12" s="93" t="s">
        <v>52</v>
      </c>
      <c r="D12" s="94" t="s">
        <v>53</v>
      </c>
      <c r="E12" s="74" t="s">
        <v>54</v>
      </c>
      <c r="F12" s="87">
        <v>17</v>
      </c>
      <c r="G12" s="83">
        <v>160</v>
      </c>
      <c r="H12" s="46">
        <f t="shared" si="0"/>
        <v>3.2</v>
      </c>
      <c r="I12" s="47">
        <f t="shared" si="1"/>
        <v>163.19999999999999</v>
      </c>
      <c r="J12" s="48">
        <v>0.105</v>
      </c>
      <c r="K12" s="49">
        <f t="shared" si="2"/>
        <v>17.135999999999999</v>
      </c>
      <c r="L12" s="50">
        <v>0</v>
      </c>
      <c r="M12" s="49">
        <f t="shared" si="3"/>
        <v>0</v>
      </c>
      <c r="N12" s="49">
        <f t="shared" si="4"/>
        <v>163.19999999999999</v>
      </c>
      <c r="O12" s="49">
        <f t="shared" si="5"/>
        <v>180.33599999999998</v>
      </c>
      <c r="P12" s="51">
        <f t="shared" si="6"/>
        <v>54.400000000000006</v>
      </c>
      <c r="Q12" s="49">
        <f t="shared" si="7"/>
        <v>2774.3999999999996</v>
      </c>
      <c r="R12" s="49">
        <f t="shared" si="8"/>
        <v>291.31200000000001</v>
      </c>
      <c r="S12" s="49">
        <f t="shared" si="9"/>
        <v>0</v>
      </c>
      <c r="T12" s="49">
        <f t="shared" si="10"/>
        <v>2774.3999999999996</v>
      </c>
      <c r="U12" s="54">
        <f t="shared" si="11"/>
        <v>3065.7119999999995</v>
      </c>
      <c r="V12" s="55">
        <f t="shared" si="12"/>
        <v>294.58</v>
      </c>
      <c r="W12" s="56">
        <f t="shared" si="13"/>
        <v>64.660000000000025</v>
      </c>
      <c r="X12" s="56">
        <f t="shared" si="14"/>
        <v>359.24</v>
      </c>
      <c r="Y12" s="56">
        <f t="shared" si="15"/>
        <v>0</v>
      </c>
      <c r="Z12" s="56">
        <f t="shared" si="16"/>
        <v>359.24</v>
      </c>
      <c r="AA12" s="56">
        <f t="shared" si="17"/>
        <v>37.72</v>
      </c>
      <c r="AB12" s="183">
        <f t="shared" si="18"/>
        <v>396.96</v>
      </c>
      <c r="AC12" s="181">
        <f t="shared" si="19"/>
        <v>565668</v>
      </c>
      <c r="AD12" s="65">
        <f t="shared" si="20"/>
        <v>5007.8599999999997</v>
      </c>
      <c r="AE12" s="66">
        <f t="shared" si="21"/>
        <v>1099.2200000000005</v>
      </c>
      <c r="AF12" s="66">
        <f t="shared" si="22"/>
        <v>0</v>
      </c>
      <c r="AG12" s="56">
        <f t="shared" si="23"/>
        <v>6107.08</v>
      </c>
      <c r="AH12" s="56">
        <f t="shared" si="24"/>
        <v>641.24</v>
      </c>
      <c r="AI12" s="75">
        <f t="shared" si="25"/>
        <v>6748.32</v>
      </c>
      <c r="AJ12" s="64">
        <f t="shared" si="26"/>
        <v>9616356</v>
      </c>
    </row>
    <row r="13" spans="1:37" s="52" customFormat="1">
      <c r="A13" s="44">
        <v>3</v>
      </c>
      <c r="B13" s="45" t="s">
        <v>8</v>
      </c>
      <c r="C13" s="93" t="s">
        <v>55</v>
      </c>
      <c r="D13" s="94" t="s">
        <v>56</v>
      </c>
      <c r="E13" s="74" t="s">
        <v>57</v>
      </c>
      <c r="F13" s="88">
        <v>1</v>
      </c>
      <c r="G13" s="83">
        <v>385</v>
      </c>
      <c r="H13" s="46">
        <f t="shared" si="0"/>
        <v>7.7</v>
      </c>
      <c r="I13" s="47">
        <f t="shared" si="1"/>
        <v>392.7</v>
      </c>
      <c r="J13" s="48">
        <v>0.21</v>
      </c>
      <c r="K13" s="49">
        <f t="shared" si="2"/>
        <v>82.466999999999999</v>
      </c>
      <c r="L13" s="50">
        <v>0</v>
      </c>
      <c r="M13" s="49">
        <f t="shared" si="3"/>
        <v>0</v>
      </c>
      <c r="N13" s="49">
        <f t="shared" si="4"/>
        <v>392.7</v>
      </c>
      <c r="O13" s="49">
        <f t="shared" si="5"/>
        <v>475.16699999999997</v>
      </c>
      <c r="P13" s="51">
        <f t="shared" si="6"/>
        <v>7.7</v>
      </c>
      <c r="Q13" s="49">
        <f t="shared" si="7"/>
        <v>392.7</v>
      </c>
      <c r="R13" s="49">
        <f t="shared" si="8"/>
        <v>82.466999999999999</v>
      </c>
      <c r="S13" s="49">
        <f t="shared" si="9"/>
        <v>0</v>
      </c>
      <c r="T13" s="49">
        <f t="shared" si="10"/>
        <v>392.7</v>
      </c>
      <c r="U13" s="54">
        <f t="shared" si="11"/>
        <v>475.16699999999997</v>
      </c>
      <c r="V13" s="55">
        <f t="shared" si="12"/>
        <v>708.84</v>
      </c>
      <c r="W13" s="56">
        <f t="shared" si="13"/>
        <v>155.60000000000002</v>
      </c>
      <c r="X13" s="56">
        <f t="shared" si="14"/>
        <v>864.44</v>
      </c>
      <c r="Y13" s="56">
        <f t="shared" si="15"/>
        <v>0</v>
      </c>
      <c r="Z13" s="56">
        <f t="shared" si="16"/>
        <v>864.44</v>
      </c>
      <c r="AA13" s="56">
        <f t="shared" si="17"/>
        <v>181.53</v>
      </c>
      <c r="AB13" s="183">
        <f t="shared" si="18"/>
        <v>1045.97</v>
      </c>
      <c r="AC13" s="181">
        <f t="shared" si="19"/>
        <v>1490507.25</v>
      </c>
      <c r="AD13" s="65">
        <f t="shared" si="20"/>
        <v>708.84</v>
      </c>
      <c r="AE13" s="66">
        <f t="shared" si="21"/>
        <v>155.60000000000002</v>
      </c>
      <c r="AF13" s="66">
        <f t="shared" si="22"/>
        <v>0</v>
      </c>
      <c r="AG13" s="56">
        <f t="shared" si="23"/>
        <v>864.44</v>
      </c>
      <c r="AH13" s="56">
        <f t="shared" si="24"/>
        <v>181.53</v>
      </c>
      <c r="AI13" s="75">
        <f t="shared" si="25"/>
        <v>1045.97</v>
      </c>
      <c r="AJ13" s="64">
        <f t="shared" si="26"/>
        <v>1490507.25</v>
      </c>
    </row>
    <row r="14" spans="1:37" s="52" customFormat="1">
      <c r="A14" s="44">
        <v>4</v>
      </c>
      <c r="B14" s="45" t="s">
        <v>8</v>
      </c>
      <c r="C14" s="95" t="s">
        <v>58</v>
      </c>
      <c r="D14" s="96" t="s">
        <v>59</v>
      </c>
      <c r="E14" s="92" t="s">
        <v>60</v>
      </c>
      <c r="F14" s="89">
        <v>1</v>
      </c>
      <c r="G14" s="84">
        <v>140</v>
      </c>
      <c r="H14" s="46">
        <f t="shared" si="0"/>
        <v>2.8000000000000003</v>
      </c>
      <c r="I14" s="47">
        <f t="shared" si="1"/>
        <v>142.80000000000001</v>
      </c>
      <c r="J14" s="48">
        <v>0.105</v>
      </c>
      <c r="K14" s="49">
        <f t="shared" si="2"/>
        <v>14.994</v>
      </c>
      <c r="L14" s="50">
        <v>0</v>
      </c>
      <c r="M14" s="49">
        <f t="shared" si="3"/>
        <v>0</v>
      </c>
      <c r="N14" s="49">
        <f t="shared" si="4"/>
        <v>142.80000000000001</v>
      </c>
      <c r="O14" s="49">
        <f t="shared" si="5"/>
        <v>157.79400000000001</v>
      </c>
      <c r="P14" s="51">
        <f t="shared" si="6"/>
        <v>2.8000000000000003</v>
      </c>
      <c r="Q14" s="49">
        <f t="shared" si="7"/>
        <v>142.80000000000001</v>
      </c>
      <c r="R14" s="49">
        <f t="shared" si="8"/>
        <v>14.994</v>
      </c>
      <c r="S14" s="49">
        <f t="shared" si="9"/>
        <v>0</v>
      </c>
      <c r="T14" s="49">
        <f t="shared" si="10"/>
        <v>142.80000000000001</v>
      </c>
      <c r="U14" s="54">
        <f t="shared" si="11"/>
        <v>157.79400000000001</v>
      </c>
      <c r="V14" s="55">
        <f t="shared" si="12"/>
        <v>257.76</v>
      </c>
      <c r="W14" s="56">
        <f t="shared" si="13"/>
        <v>56.579999999999984</v>
      </c>
      <c r="X14" s="56">
        <f t="shared" si="14"/>
        <v>314.33999999999997</v>
      </c>
      <c r="Y14" s="56">
        <f t="shared" si="15"/>
        <v>0</v>
      </c>
      <c r="Z14" s="56">
        <f t="shared" si="16"/>
        <v>314.33999999999997</v>
      </c>
      <c r="AA14" s="56">
        <f t="shared" si="17"/>
        <v>33.01</v>
      </c>
      <c r="AB14" s="183">
        <f t="shared" si="18"/>
        <v>347.35</v>
      </c>
      <c r="AC14" s="181">
        <f t="shared" si="19"/>
        <v>494973.75</v>
      </c>
      <c r="AD14" s="65">
        <f t="shared" si="20"/>
        <v>257.76</v>
      </c>
      <c r="AE14" s="66">
        <f t="shared" si="21"/>
        <v>56.579999999999984</v>
      </c>
      <c r="AF14" s="66">
        <f t="shared" si="22"/>
        <v>0</v>
      </c>
      <c r="AG14" s="56">
        <f t="shared" si="23"/>
        <v>314.33999999999997</v>
      </c>
      <c r="AH14" s="56">
        <f t="shared" si="24"/>
        <v>33.01</v>
      </c>
      <c r="AI14" s="75">
        <f t="shared" si="25"/>
        <v>347.34999999999997</v>
      </c>
      <c r="AJ14" s="64">
        <f t="shared" si="26"/>
        <v>494973.74999999994</v>
      </c>
    </row>
    <row r="15" spans="1:37">
      <c r="A15" s="44">
        <v>5</v>
      </c>
      <c r="B15" s="45" t="s">
        <v>8</v>
      </c>
      <c r="C15" s="95" t="s">
        <v>61</v>
      </c>
      <c r="D15" s="96" t="s">
        <v>62</v>
      </c>
      <c r="E15" s="92" t="s">
        <v>60</v>
      </c>
      <c r="F15" s="90">
        <v>1</v>
      </c>
      <c r="G15" s="85">
        <v>155</v>
      </c>
      <c r="H15" s="46">
        <f t="shared" si="0"/>
        <v>3.1</v>
      </c>
      <c r="I15" s="47">
        <f t="shared" si="1"/>
        <v>158.1</v>
      </c>
      <c r="J15" s="48">
        <v>0.105</v>
      </c>
      <c r="K15" s="49">
        <f t="shared" si="2"/>
        <v>16.6005</v>
      </c>
      <c r="L15" s="50">
        <v>0</v>
      </c>
      <c r="M15" s="49">
        <f t="shared" si="3"/>
        <v>0</v>
      </c>
      <c r="N15" s="49">
        <f t="shared" si="4"/>
        <v>158.1</v>
      </c>
      <c r="O15" s="49">
        <f t="shared" si="5"/>
        <v>174.70050000000001</v>
      </c>
      <c r="P15" s="51">
        <f t="shared" si="6"/>
        <v>3.1</v>
      </c>
      <c r="Q15" s="49">
        <f t="shared" si="7"/>
        <v>158.1</v>
      </c>
      <c r="R15" s="49">
        <f t="shared" si="8"/>
        <v>16.6005</v>
      </c>
      <c r="S15" s="49">
        <f t="shared" si="9"/>
        <v>0</v>
      </c>
      <c r="T15" s="49">
        <f t="shared" si="10"/>
        <v>158.1</v>
      </c>
      <c r="U15" s="54">
        <f t="shared" si="11"/>
        <v>174.70050000000001</v>
      </c>
      <c r="V15" s="55">
        <f t="shared" si="12"/>
        <v>285.38</v>
      </c>
      <c r="W15" s="56">
        <f t="shared" si="13"/>
        <v>62.639999999999986</v>
      </c>
      <c r="X15" s="56">
        <f t="shared" si="14"/>
        <v>348.02</v>
      </c>
      <c r="Y15" s="56">
        <f t="shared" si="15"/>
        <v>0</v>
      </c>
      <c r="Z15" s="56">
        <f t="shared" si="16"/>
        <v>348.02</v>
      </c>
      <c r="AA15" s="56">
        <f t="shared" si="17"/>
        <v>36.54</v>
      </c>
      <c r="AB15" s="183">
        <f t="shared" si="18"/>
        <v>384.56</v>
      </c>
      <c r="AC15" s="181">
        <f t="shared" si="19"/>
        <v>547998</v>
      </c>
      <c r="AD15" s="65">
        <f t="shared" si="20"/>
        <v>285.38</v>
      </c>
      <c r="AE15" s="66">
        <f t="shared" si="21"/>
        <v>62.639999999999986</v>
      </c>
      <c r="AF15" s="66">
        <f t="shared" si="22"/>
        <v>0</v>
      </c>
      <c r="AG15" s="56">
        <f t="shared" si="23"/>
        <v>348.02</v>
      </c>
      <c r="AH15" s="56">
        <f t="shared" si="24"/>
        <v>36.54</v>
      </c>
      <c r="AI15" s="75">
        <f t="shared" si="25"/>
        <v>384.56</v>
      </c>
      <c r="AJ15" s="64">
        <f t="shared" si="26"/>
        <v>547998</v>
      </c>
    </row>
    <row r="16" spans="1:37">
      <c r="A16" s="44">
        <v>6</v>
      </c>
      <c r="B16" s="45" t="s">
        <v>8</v>
      </c>
      <c r="C16" s="95" t="s">
        <v>63</v>
      </c>
      <c r="D16" s="96" t="s">
        <v>64</v>
      </c>
      <c r="E16" s="92" t="s">
        <v>65</v>
      </c>
      <c r="F16" s="90">
        <v>100</v>
      </c>
      <c r="G16" s="84">
        <v>31.15</v>
      </c>
      <c r="H16" s="46">
        <f t="shared" si="0"/>
        <v>0.623</v>
      </c>
      <c r="I16" s="47">
        <f t="shared" si="1"/>
        <v>31.773</v>
      </c>
      <c r="J16" s="48">
        <v>0.105</v>
      </c>
      <c r="K16" s="49">
        <f t="shared" si="2"/>
        <v>3.3361649999999998</v>
      </c>
      <c r="L16" s="50">
        <v>0</v>
      </c>
      <c r="M16" s="49">
        <f t="shared" si="3"/>
        <v>0</v>
      </c>
      <c r="N16" s="49">
        <f t="shared" si="4"/>
        <v>31.773</v>
      </c>
      <c r="O16" s="49">
        <f t="shared" si="5"/>
        <v>35.109164999999997</v>
      </c>
      <c r="P16" s="51">
        <f t="shared" si="6"/>
        <v>62.3</v>
      </c>
      <c r="Q16" s="49">
        <f t="shared" si="7"/>
        <v>3177.3</v>
      </c>
      <c r="R16" s="49">
        <f t="shared" si="8"/>
        <v>333.61649999999997</v>
      </c>
      <c r="S16" s="49">
        <f t="shared" si="9"/>
        <v>0</v>
      </c>
      <c r="T16" s="49">
        <f t="shared" si="10"/>
        <v>3177.3</v>
      </c>
      <c r="U16" s="54">
        <f t="shared" si="11"/>
        <v>3510.9165000000003</v>
      </c>
      <c r="V16" s="55">
        <f t="shared" si="12"/>
        <v>57.35</v>
      </c>
      <c r="W16" s="56">
        <f t="shared" si="13"/>
        <v>12.589999999999996</v>
      </c>
      <c r="X16" s="56">
        <f t="shared" si="14"/>
        <v>69.94</v>
      </c>
      <c r="Y16" s="56">
        <f t="shared" si="15"/>
        <v>0</v>
      </c>
      <c r="Z16" s="56">
        <f t="shared" si="16"/>
        <v>69.94</v>
      </c>
      <c r="AA16" s="56">
        <f t="shared" si="17"/>
        <v>7.34</v>
      </c>
      <c r="AB16" s="183">
        <f t="shared" si="18"/>
        <v>77.28</v>
      </c>
      <c r="AC16" s="181">
        <f t="shared" si="19"/>
        <v>110124</v>
      </c>
      <c r="AD16" s="65">
        <f t="shared" si="20"/>
        <v>5735</v>
      </c>
      <c r="AE16" s="66">
        <f t="shared" si="21"/>
        <v>1258.9999999999995</v>
      </c>
      <c r="AF16" s="66">
        <f t="shared" si="22"/>
        <v>0</v>
      </c>
      <c r="AG16" s="56">
        <f t="shared" si="23"/>
        <v>6994</v>
      </c>
      <c r="AH16" s="56">
        <f t="shared" si="24"/>
        <v>734</v>
      </c>
      <c r="AI16" s="75">
        <f t="shared" si="25"/>
        <v>7728</v>
      </c>
      <c r="AJ16" s="64">
        <f t="shared" si="26"/>
        <v>11012400</v>
      </c>
    </row>
    <row r="17" spans="1:37" ht="21" customHeight="1">
      <c r="G17" s="97"/>
      <c r="T17" s="91">
        <f>SUM(T11:T16)</f>
        <v>17957.100000000002</v>
      </c>
      <c r="U17" s="167">
        <f>SUM(U11:U16)</f>
        <v>19883.829000000002</v>
      </c>
      <c r="AG17" s="80">
        <f>SUM(AG11:AG16)</f>
        <v>39528.380000000005</v>
      </c>
      <c r="AH17" s="80">
        <f>SUM(AH11:AH16)</f>
        <v>4240.92</v>
      </c>
      <c r="AI17" s="80">
        <f>SUM(AI11:AI16)</f>
        <v>43769.299999999996</v>
      </c>
      <c r="AJ17" s="81">
        <f>SUM(AJ11:AJ16)</f>
        <v>62371252.5</v>
      </c>
    </row>
    <row r="18" spans="1:37" ht="21.6" customHeight="1" thickBot="1">
      <c r="G18" s="97"/>
      <c r="T18" s="91"/>
      <c r="U18" s="167"/>
      <c r="AG18" s="80"/>
      <c r="AH18" s="80"/>
      <c r="AI18" s="80"/>
      <c r="AJ18" s="81"/>
    </row>
    <row r="19" spans="1:37" ht="21.6" customHeight="1" thickBot="1">
      <c r="D19" s="98"/>
      <c r="G19" s="97"/>
      <c r="AD19" s="241" t="s">
        <v>6</v>
      </c>
      <c r="AE19" s="242"/>
      <c r="AF19" s="242"/>
      <c r="AG19" s="242"/>
      <c r="AH19" s="242"/>
      <c r="AI19" s="242"/>
      <c r="AJ19" s="243"/>
    </row>
    <row r="20" spans="1:37" ht="21.6" customHeight="1" thickBot="1">
      <c r="D20" s="98" t="s">
        <v>66</v>
      </c>
      <c r="G20" s="236" t="s">
        <v>0</v>
      </c>
      <c r="H20" s="237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8"/>
      <c r="V20" s="239" t="s">
        <v>1</v>
      </c>
      <c r="W20" s="237"/>
      <c r="X20" s="237"/>
      <c r="Y20" s="237"/>
      <c r="Z20" s="237"/>
      <c r="AA20" s="237"/>
      <c r="AB20" s="237"/>
      <c r="AC20" s="237"/>
      <c r="AD20" s="237"/>
      <c r="AE20" s="237"/>
      <c r="AF20" s="237"/>
      <c r="AG20" s="237"/>
      <c r="AH20" s="237"/>
      <c r="AI20" s="237"/>
      <c r="AJ20" s="237"/>
    </row>
    <row r="21" spans="1:37" s="28" customFormat="1" ht="42" customHeight="1" thickBot="1">
      <c r="A21" s="69" t="s">
        <v>7</v>
      </c>
      <c r="B21" s="69" t="s">
        <v>8</v>
      </c>
      <c r="C21" s="71" t="s">
        <v>9</v>
      </c>
      <c r="D21" s="69" t="s">
        <v>10</v>
      </c>
      <c r="E21" s="73" t="s">
        <v>11</v>
      </c>
      <c r="F21" s="72" t="s">
        <v>12</v>
      </c>
      <c r="G21" s="70" t="s">
        <v>13</v>
      </c>
      <c r="H21" s="32" t="s">
        <v>14</v>
      </c>
      <c r="I21" s="33" t="s">
        <v>15</v>
      </c>
      <c r="J21" s="34" t="s">
        <v>16</v>
      </c>
      <c r="K21" s="34" t="s">
        <v>17</v>
      </c>
      <c r="L21" s="35" t="s">
        <v>18</v>
      </c>
      <c r="M21" s="35" t="s">
        <v>19</v>
      </c>
      <c r="N21" s="36" t="s">
        <v>20</v>
      </c>
      <c r="O21" s="40" t="s">
        <v>21</v>
      </c>
      <c r="P21" s="37" t="s">
        <v>22</v>
      </c>
      <c r="Q21" s="33" t="s">
        <v>23</v>
      </c>
      <c r="R21" s="34" t="s">
        <v>24</v>
      </c>
      <c r="S21" s="35" t="s">
        <v>25</v>
      </c>
      <c r="T21" s="38" t="s">
        <v>26</v>
      </c>
      <c r="U21" s="53" t="s">
        <v>27</v>
      </c>
      <c r="V21" s="57" t="s">
        <v>28</v>
      </c>
      <c r="W21" s="58" t="s">
        <v>29</v>
      </c>
      <c r="X21" s="58" t="s">
        <v>30</v>
      </c>
      <c r="Y21" s="59" t="s">
        <v>31</v>
      </c>
      <c r="Z21" s="60" t="s">
        <v>32</v>
      </c>
      <c r="AA21" s="61" t="s">
        <v>33</v>
      </c>
      <c r="AB21" s="60" t="s">
        <v>34</v>
      </c>
      <c r="AC21" s="62" t="s">
        <v>35</v>
      </c>
      <c r="AD21" s="57" t="s">
        <v>36</v>
      </c>
      <c r="AE21" s="58" t="s">
        <v>37</v>
      </c>
      <c r="AF21" s="59" t="s">
        <v>38</v>
      </c>
      <c r="AG21" s="67" t="s">
        <v>39</v>
      </c>
      <c r="AH21" s="68" t="s">
        <v>24</v>
      </c>
      <c r="AI21" s="62" t="s">
        <v>40</v>
      </c>
      <c r="AJ21" s="63" t="s">
        <v>41</v>
      </c>
    </row>
    <row r="22" spans="1:37" s="161" customFormat="1" ht="16.2" customHeight="1" thickBot="1">
      <c r="A22" s="141">
        <v>1</v>
      </c>
      <c r="B22" s="142" t="s">
        <v>8</v>
      </c>
      <c r="C22" s="143"/>
      <c r="D22" s="79" t="s">
        <v>67</v>
      </c>
      <c r="E22" s="79" t="s">
        <v>68</v>
      </c>
      <c r="F22" s="79">
        <v>130</v>
      </c>
      <c r="G22" s="147">
        <f>1.1+1</f>
        <v>2.1</v>
      </c>
      <c r="H22" s="148">
        <f t="shared" ref="H22:H37" si="27">(G22*LOG_SEG)</f>
        <v>4.2000000000000003E-2</v>
      </c>
      <c r="I22" s="149">
        <f t="shared" ref="I22:I37" si="28">G22+H22</f>
        <v>2.1419999999999999</v>
      </c>
      <c r="J22" s="150">
        <v>0.21</v>
      </c>
      <c r="K22" s="151">
        <f t="shared" ref="K22:K37" si="29">I22*J22</f>
        <v>0.44981999999999994</v>
      </c>
      <c r="L22" s="152">
        <v>0</v>
      </c>
      <c r="M22" s="151">
        <f t="shared" ref="M22:M37" si="30">G22*L22</f>
        <v>0</v>
      </c>
      <c r="N22" s="151">
        <f t="shared" ref="N22:N37" si="31">I22+M22</f>
        <v>2.1419999999999999</v>
      </c>
      <c r="O22" s="151">
        <f t="shared" ref="O22:O37" si="32">N22+K22</f>
        <v>2.5918199999999998</v>
      </c>
      <c r="P22" s="153">
        <f t="shared" ref="P22:P37" si="33">H22*F22</f>
        <v>5.46</v>
      </c>
      <c r="Q22" s="151">
        <f t="shared" ref="Q22:Q37" si="34">N22*F22</f>
        <v>278.45999999999998</v>
      </c>
      <c r="R22" s="151">
        <f t="shared" ref="R22:R37" si="35">K22*F22</f>
        <v>58.476599999999991</v>
      </c>
      <c r="S22" s="151">
        <f t="shared" ref="S22:S37" si="36">M22*F22</f>
        <v>0</v>
      </c>
      <c r="T22" s="151">
        <f t="shared" ref="T22:T37" si="37">Q22+S22</f>
        <v>278.45999999999998</v>
      </c>
      <c r="U22" s="154">
        <f t="shared" ref="U22:U37" si="38">T22+R22</f>
        <v>336.9366</v>
      </c>
      <c r="V22" s="155">
        <f t="shared" ref="V22:V37" si="39">ROUND(N22/(1-MARGEN),2)</f>
        <v>3.87</v>
      </c>
      <c r="W22" s="156">
        <f t="shared" ref="W22:W37" si="40">X22-V22</f>
        <v>0.84999999999999964</v>
      </c>
      <c r="X22" s="156">
        <f t="shared" ref="X22:X37" si="41">ROUND(V22/(1-(COMI1+COMI2)),2)</f>
        <v>4.72</v>
      </c>
      <c r="Y22" s="156">
        <f t="shared" ref="Y22:Y37" si="42">Z22-X22</f>
        <v>0</v>
      </c>
      <c r="Z22" s="156">
        <f t="shared" ref="Z22:Z37" si="43">ROUND(X22*INFLACION,2)</f>
        <v>4.72</v>
      </c>
      <c r="AA22" s="156">
        <f t="shared" ref="AA22:AA37" si="44">ROUND(Z22*J22,2)</f>
        <v>0.99</v>
      </c>
      <c r="AB22" s="183">
        <f t="shared" ref="AB22:AB37" si="45">ROUND(Z22+AA22,2)</f>
        <v>5.71</v>
      </c>
      <c r="AC22" s="181">
        <f t="shared" ref="AC22:AC37" si="46">ROUND(AB22*BILLETE,2)</f>
        <v>8136.75</v>
      </c>
      <c r="AD22" s="158">
        <f t="shared" ref="AD22:AD37" si="47">V22*F22</f>
        <v>503.1</v>
      </c>
      <c r="AE22" s="159">
        <f t="shared" ref="AE22:AE37" si="48">W22*F22</f>
        <v>110.49999999999996</v>
      </c>
      <c r="AF22" s="159">
        <f t="shared" ref="AF22:AF37" si="49">Y22*F22</f>
        <v>0</v>
      </c>
      <c r="AG22" s="156">
        <f t="shared" ref="AG22:AG37" si="50">ROUND(Z22*F22,2)</f>
        <v>613.6</v>
      </c>
      <c r="AH22" s="156">
        <f t="shared" ref="AH22:AH37" si="51">ROUND(AA22*F22,2)</f>
        <v>128.69999999999999</v>
      </c>
      <c r="AI22" s="160">
        <f t="shared" ref="AI22:AI37" si="52">AG22+AH22</f>
        <v>742.3</v>
      </c>
      <c r="AJ22" s="157">
        <f t="shared" ref="AJ22:AJ37" si="53">AI22*BILLETE</f>
        <v>1057777.5</v>
      </c>
      <c r="AK22" s="234">
        <f t="shared" ref="AK22:AK37" si="54">AC22*F22</f>
        <v>1057777.5</v>
      </c>
    </row>
    <row r="23" spans="1:37" s="161" customFormat="1" ht="16.2" customHeight="1" thickBot="1">
      <c r="A23" s="141">
        <v>2</v>
      </c>
      <c r="B23" s="142" t="s">
        <v>8</v>
      </c>
      <c r="C23" s="143"/>
      <c r="D23" s="79" t="s">
        <v>69</v>
      </c>
      <c r="E23" s="79" t="s">
        <v>70</v>
      </c>
      <c r="F23" s="79">
        <v>100</v>
      </c>
      <c r="G23" s="147">
        <f>1.1</f>
        <v>1.1000000000000001</v>
      </c>
      <c r="H23" s="148">
        <f t="shared" si="27"/>
        <v>2.2000000000000002E-2</v>
      </c>
      <c r="I23" s="149">
        <f t="shared" si="28"/>
        <v>1.1220000000000001</v>
      </c>
      <c r="J23" s="150">
        <v>0.21</v>
      </c>
      <c r="K23" s="151">
        <f t="shared" si="29"/>
        <v>0.23562000000000002</v>
      </c>
      <c r="L23" s="152">
        <v>0</v>
      </c>
      <c r="M23" s="151">
        <f t="shared" si="30"/>
        <v>0</v>
      </c>
      <c r="N23" s="151">
        <f t="shared" si="31"/>
        <v>1.1220000000000001</v>
      </c>
      <c r="O23" s="151">
        <f t="shared" si="32"/>
        <v>1.35762</v>
      </c>
      <c r="P23" s="153">
        <f t="shared" si="33"/>
        <v>2.2000000000000002</v>
      </c>
      <c r="Q23" s="151">
        <f t="shared" si="34"/>
        <v>112.20000000000002</v>
      </c>
      <c r="R23" s="151">
        <f t="shared" si="35"/>
        <v>23.562000000000001</v>
      </c>
      <c r="S23" s="151">
        <f t="shared" si="36"/>
        <v>0</v>
      </c>
      <c r="T23" s="151">
        <f t="shared" si="37"/>
        <v>112.20000000000002</v>
      </c>
      <c r="U23" s="154">
        <f t="shared" si="38"/>
        <v>135.76200000000003</v>
      </c>
      <c r="V23" s="155">
        <f t="shared" si="39"/>
        <v>2.0299999999999998</v>
      </c>
      <c r="W23" s="156">
        <f t="shared" si="40"/>
        <v>0.45000000000000018</v>
      </c>
      <c r="X23" s="156">
        <f t="shared" si="41"/>
        <v>2.48</v>
      </c>
      <c r="Y23" s="156">
        <f t="shared" si="42"/>
        <v>0</v>
      </c>
      <c r="Z23" s="156">
        <f t="shared" si="43"/>
        <v>2.48</v>
      </c>
      <c r="AA23" s="156">
        <f t="shared" si="44"/>
        <v>0.52</v>
      </c>
      <c r="AB23" s="183">
        <f t="shared" si="45"/>
        <v>3</v>
      </c>
      <c r="AC23" s="181">
        <f t="shared" si="46"/>
        <v>4275</v>
      </c>
      <c r="AD23" s="158">
        <f t="shared" si="47"/>
        <v>202.99999999999997</v>
      </c>
      <c r="AE23" s="159">
        <f t="shared" si="48"/>
        <v>45.000000000000014</v>
      </c>
      <c r="AF23" s="159">
        <f t="shared" si="49"/>
        <v>0</v>
      </c>
      <c r="AG23" s="156">
        <f t="shared" si="50"/>
        <v>248</v>
      </c>
      <c r="AH23" s="156">
        <f t="shared" si="51"/>
        <v>52</v>
      </c>
      <c r="AI23" s="160">
        <f t="shared" si="52"/>
        <v>300</v>
      </c>
      <c r="AJ23" s="157">
        <f t="shared" si="53"/>
        <v>427500</v>
      </c>
      <c r="AK23" s="234">
        <f t="shared" si="54"/>
        <v>427500</v>
      </c>
    </row>
    <row r="24" spans="1:37" s="161" customFormat="1" ht="16.2" customHeight="1" thickBot="1">
      <c r="A24" s="141">
        <v>3</v>
      </c>
      <c r="B24" s="142" t="s">
        <v>8</v>
      </c>
      <c r="C24" s="143"/>
      <c r="D24" s="79" t="s">
        <v>71</v>
      </c>
      <c r="E24" s="79" t="s">
        <v>72</v>
      </c>
      <c r="F24" s="79">
        <v>18</v>
      </c>
      <c r="G24" s="147">
        <v>220</v>
      </c>
      <c r="H24" s="148">
        <f t="shared" si="27"/>
        <v>4.4000000000000004</v>
      </c>
      <c r="I24" s="149">
        <f t="shared" si="28"/>
        <v>224.4</v>
      </c>
      <c r="J24" s="150">
        <v>0.21</v>
      </c>
      <c r="K24" s="151">
        <f t="shared" si="29"/>
        <v>47.124000000000002</v>
      </c>
      <c r="L24" s="152">
        <v>0</v>
      </c>
      <c r="M24" s="151">
        <f t="shared" si="30"/>
        <v>0</v>
      </c>
      <c r="N24" s="151">
        <f t="shared" si="31"/>
        <v>224.4</v>
      </c>
      <c r="O24" s="151">
        <f t="shared" si="32"/>
        <v>271.524</v>
      </c>
      <c r="P24" s="153">
        <f t="shared" si="33"/>
        <v>79.2</v>
      </c>
      <c r="Q24" s="151">
        <f t="shared" si="34"/>
        <v>4039.2000000000003</v>
      </c>
      <c r="R24" s="151">
        <f t="shared" si="35"/>
        <v>848.23200000000008</v>
      </c>
      <c r="S24" s="151">
        <f t="shared" si="36"/>
        <v>0</v>
      </c>
      <c r="T24" s="151">
        <f t="shared" si="37"/>
        <v>4039.2000000000003</v>
      </c>
      <c r="U24" s="154">
        <f t="shared" si="38"/>
        <v>4887.4320000000007</v>
      </c>
      <c r="V24" s="155">
        <f t="shared" si="39"/>
        <v>405.05</v>
      </c>
      <c r="W24" s="156">
        <f t="shared" si="40"/>
        <v>88.909999999999968</v>
      </c>
      <c r="X24" s="156">
        <f t="shared" si="41"/>
        <v>493.96</v>
      </c>
      <c r="Y24" s="156">
        <f t="shared" si="42"/>
        <v>0</v>
      </c>
      <c r="Z24" s="156">
        <f t="shared" si="43"/>
        <v>493.96</v>
      </c>
      <c r="AA24" s="156">
        <f t="shared" si="44"/>
        <v>103.73</v>
      </c>
      <c r="AB24" s="183">
        <f t="shared" si="45"/>
        <v>597.69000000000005</v>
      </c>
      <c r="AC24" s="181">
        <f t="shared" si="46"/>
        <v>851708.25</v>
      </c>
      <c r="AD24" s="158">
        <f t="shared" si="47"/>
        <v>7290.9000000000005</v>
      </c>
      <c r="AE24" s="159">
        <f t="shared" si="48"/>
        <v>1600.3799999999994</v>
      </c>
      <c r="AF24" s="159">
        <f t="shared" si="49"/>
        <v>0</v>
      </c>
      <c r="AG24" s="156">
        <f t="shared" si="50"/>
        <v>8891.2800000000007</v>
      </c>
      <c r="AH24" s="156">
        <f t="shared" si="51"/>
        <v>1867.14</v>
      </c>
      <c r="AI24" s="160">
        <f t="shared" si="52"/>
        <v>10758.42</v>
      </c>
      <c r="AJ24" s="157">
        <f t="shared" si="53"/>
        <v>15330748.5</v>
      </c>
      <c r="AK24" s="234">
        <f t="shared" si="54"/>
        <v>15330748.5</v>
      </c>
    </row>
    <row r="25" spans="1:37" s="138" customFormat="1" ht="16.2" customHeight="1" thickBot="1">
      <c r="A25" s="120">
        <v>4</v>
      </c>
      <c r="B25" s="121" t="s">
        <v>8</v>
      </c>
      <c r="C25" s="122"/>
      <c r="D25" s="139" t="s">
        <v>73</v>
      </c>
      <c r="E25" s="139" t="s">
        <v>74</v>
      </c>
      <c r="F25" s="139">
        <v>12</v>
      </c>
      <c r="G25" s="84">
        <v>55</v>
      </c>
      <c r="H25" s="125">
        <f t="shared" si="27"/>
        <v>1.1000000000000001</v>
      </c>
      <c r="I25" s="126">
        <f t="shared" si="28"/>
        <v>56.1</v>
      </c>
      <c r="J25" s="127">
        <v>0.21</v>
      </c>
      <c r="K25" s="128">
        <f t="shared" si="29"/>
        <v>11.781000000000001</v>
      </c>
      <c r="L25" s="129">
        <v>0</v>
      </c>
      <c r="M25" s="128">
        <f t="shared" si="30"/>
        <v>0</v>
      </c>
      <c r="N25" s="128">
        <f t="shared" si="31"/>
        <v>56.1</v>
      </c>
      <c r="O25" s="128">
        <f t="shared" si="32"/>
        <v>67.881</v>
      </c>
      <c r="P25" s="130">
        <f t="shared" si="33"/>
        <v>13.200000000000001</v>
      </c>
      <c r="Q25" s="128">
        <f t="shared" si="34"/>
        <v>673.2</v>
      </c>
      <c r="R25" s="128">
        <f t="shared" si="35"/>
        <v>141.37200000000001</v>
      </c>
      <c r="S25" s="128">
        <f t="shared" si="36"/>
        <v>0</v>
      </c>
      <c r="T25" s="128">
        <f t="shared" si="37"/>
        <v>673.2</v>
      </c>
      <c r="U25" s="131">
        <f t="shared" si="38"/>
        <v>814.57200000000012</v>
      </c>
      <c r="V25" s="132">
        <f t="shared" si="39"/>
        <v>101.26</v>
      </c>
      <c r="W25" s="133">
        <f t="shared" si="40"/>
        <v>22.22999999999999</v>
      </c>
      <c r="X25" s="133">
        <f t="shared" si="41"/>
        <v>123.49</v>
      </c>
      <c r="Y25" s="133">
        <f t="shared" si="42"/>
        <v>0</v>
      </c>
      <c r="Z25" s="133">
        <f t="shared" si="43"/>
        <v>123.49</v>
      </c>
      <c r="AA25" s="133">
        <f t="shared" si="44"/>
        <v>25.93</v>
      </c>
      <c r="AB25" s="183">
        <f t="shared" si="45"/>
        <v>149.41999999999999</v>
      </c>
      <c r="AC25" s="181">
        <f t="shared" si="46"/>
        <v>212923.5</v>
      </c>
      <c r="AD25" s="135">
        <f t="shared" si="47"/>
        <v>1215.1200000000001</v>
      </c>
      <c r="AE25" s="136">
        <f t="shared" si="48"/>
        <v>266.75999999999988</v>
      </c>
      <c r="AF25" s="136">
        <f t="shared" si="49"/>
        <v>0</v>
      </c>
      <c r="AG25" s="133">
        <f t="shared" si="50"/>
        <v>1481.88</v>
      </c>
      <c r="AH25" s="133">
        <f t="shared" si="51"/>
        <v>311.16000000000003</v>
      </c>
      <c r="AI25" s="137">
        <f t="shared" si="52"/>
        <v>1793.0400000000002</v>
      </c>
      <c r="AJ25" s="134">
        <f t="shared" si="53"/>
        <v>2555082.0000000005</v>
      </c>
      <c r="AK25" s="234">
        <f t="shared" si="54"/>
        <v>2555082</v>
      </c>
    </row>
    <row r="26" spans="1:37" s="138" customFormat="1" ht="16.2" customHeight="1" thickBot="1">
      <c r="A26" s="44">
        <v>5</v>
      </c>
      <c r="B26" s="121" t="s">
        <v>8</v>
      </c>
      <c r="C26" s="122"/>
      <c r="D26" s="139" t="s">
        <v>75</v>
      </c>
      <c r="E26" s="139" t="s">
        <v>76</v>
      </c>
      <c r="F26" s="139">
        <v>12</v>
      </c>
      <c r="G26" s="84">
        <v>6.75</v>
      </c>
      <c r="H26" s="125">
        <f t="shared" si="27"/>
        <v>0.13500000000000001</v>
      </c>
      <c r="I26" s="126">
        <f t="shared" si="28"/>
        <v>6.8849999999999998</v>
      </c>
      <c r="J26" s="127">
        <v>0.21</v>
      </c>
      <c r="K26" s="128">
        <f t="shared" si="29"/>
        <v>1.4458499999999999</v>
      </c>
      <c r="L26" s="129">
        <v>0</v>
      </c>
      <c r="M26" s="128">
        <f t="shared" si="30"/>
        <v>0</v>
      </c>
      <c r="N26" s="128">
        <f t="shared" si="31"/>
        <v>6.8849999999999998</v>
      </c>
      <c r="O26" s="128">
        <f t="shared" si="32"/>
        <v>8.3308499999999999</v>
      </c>
      <c r="P26" s="130">
        <f t="shared" si="33"/>
        <v>1.62</v>
      </c>
      <c r="Q26" s="128">
        <f t="shared" si="34"/>
        <v>82.62</v>
      </c>
      <c r="R26" s="128">
        <f t="shared" si="35"/>
        <v>17.350199999999997</v>
      </c>
      <c r="S26" s="128">
        <f t="shared" si="36"/>
        <v>0</v>
      </c>
      <c r="T26" s="128">
        <f t="shared" si="37"/>
        <v>82.62</v>
      </c>
      <c r="U26" s="131">
        <f t="shared" si="38"/>
        <v>99.970200000000006</v>
      </c>
      <c r="V26" s="132">
        <f t="shared" si="39"/>
        <v>12.43</v>
      </c>
      <c r="W26" s="133">
        <f t="shared" si="40"/>
        <v>2.7300000000000004</v>
      </c>
      <c r="X26" s="133">
        <f t="shared" si="41"/>
        <v>15.16</v>
      </c>
      <c r="Y26" s="133">
        <f t="shared" si="42"/>
        <v>0</v>
      </c>
      <c r="Z26" s="133">
        <f t="shared" si="43"/>
        <v>15.16</v>
      </c>
      <c r="AA26" s="133">
        <f t="shared" si="44"/>
        <v>3.18</v>
      </c>
      <c r="AB26" s="183">
        <f t="shared" si="45"/>
        <v>18.34</v>
      </c>
      <c r="AC26" s="181">
        <f t="shared" si="46"/>
        <v>26134.5</v>
      </c>
      <c r="AD26" s="135">
        <f t="shared" si="47"/>
        <v>149.16</v>
      </c>
      <c r="AE26" s="136">
        <f t="shared" si="48"/>
        <v>32.760000000000005</v>
      </c>
      <c r="AF26" s="136">
        <f t="shared" si="49"/>
        <v>0</v>
      </c>
      <c r="AG26" s="133">
        <f t="shared" si="50"/>
        <v>181.92</v>
      </c>
      <c r="AH26" s="133">
        <f t="shared" si="51"/>
        <v>38.159999999999997</v>
      </c>
      <c r="AI26" s="137">
        <f t="shared" si="52"/>
        <v>220.07999999999998</v>
      </c>
      <c r="AJ26" s="134">
        <f t="shared" si="53"/>
        <v>313614</v>
      </c>
      <c r="AK26" s="234">
        <f t="shared" si="54"/>
        <v>313614</v>
      </c>
    </row>
    <row r="27" spans="1:37" s="138" customFormat="1" ht="27" customHeight="1" thickBot="1">
      <c r="A27" s="120">
        <v>6</v>
      </c>
      <c r="B27" s="121" t="s">
        <v>8</v>
      </c>
      <c r="C27" s="122"/>
      <c r="D27" s="139" t="s">
        <v>77</v>
      </c>
      <c r="E27" s="139" t="s">
        <v>78</v>
      </c>
      <c r="F27" s="139">
        <v>5</v>
      </c>
      <c r="G27" s="84">
        <f>600+54+125</f>
        <v>779</v>
      </c>
      <c r="H27" s="125">
        <f t="shared" si="27"/>
        <v>15.58</v>
      </c>
      <c r="I27" s="126">
        <f t="shared" si="28"/>
        <v>794.58</v>
      </c>
      <c r="J27" s="127">
        <v>0.21</v>
      </c>
      <c r="K27" s="128">
        <f t="shared" si="29"/>
        <v>166.86180000000002</v>
      </c>
      <c r="L27" s="129">
        <v>0</v>
      </c>
      <c r="M27" s="128">
        <f t="shared" si="30"/>
        <v>0</v>
      </c>
      <c r="N27" s="128">
        <f t="shared" si="31"/>
        <v>794.58</v>
      </c>
      <c r="O27" s="128">
        <f t="shared" si="32"/>
        <v>961.44180000000006</v>
      </c>
      <c r="P27" s="130">
        <f t="shared" si="33"/>
        <v>77.900000000000006</v>
      </c>
      <c r="Q27" s="128">
        <f t="shared" si="34"/>
        <v>3972.9</v>
      </c>
      <c r="R27" s="128">
        <f t="shared" si="35"/>
        <v>834.30900000000008</v>
      </c>
      <c r="S27" s="128">
        <f t="shared" si="36"/>
        <v>0</v>
      </c>
      <c r="T27" s="128">
        <f t="shared" si="37"/>
        <v>3972.9</v>
      </c>
      <c r="U27" s="131">
        <f t="shared" si="38"/>
        <v>4807.2089999999998</v>
      </c>
      <c r="V27" s="132">
        <f t="shared" si="39"/>
        <v>1434.26</v>
      </c>
      <c r="W27" s="133">
        <f t="shared" si="40"/>
        <v>314.83999999999992</v>
      </c>
      <c r="X27" s="133">
        <f t="shared" si="41"/>
        <v>1749.1</v>
      </c>
      <c r="Y27" s="133">
        <f t="shared" si="42"/>
        <v>0</v>
      </c>
      <c r="Z27" s="133">
        <f t="shared" si="43"/>
        <v>1749.1</v>
      </c>
      <c r="AA27" s="133">
        <f t="shared" si="44"/>
        <v>367.31</v>
      </c>
      <c r="AB27" s="183">
        <f t="shared" si="45"/>
        <v>2116.41</v>
      </c>
      <c r="AC27" s="181">
        <f t="shared" si="46"/>
        <v>3015884.25</v>
      </c>
      <c r="AD27" s="135">
        <f t="shared" si="47"/>
        <v>7171.3</v>
      </c>
      <c r="AE27" s="136">
        <f t="shared" si="48"/>
        <v>1574.1999999999996</v>
      </c>
      <c r="AF27" s="136">
        <f t="shared" si="49"/>
        <v>0</v>
      </c>
      <c r="AG27" s="133">
        <f t="shared" si="50"/>
        <v>8745.5</v>
      </c>
      <c r="AH27" s="133">
        <f t="shared" si="51"/>
        <v>1836.55</v>
      </c>
      <c r="AI27" s="137">
        <f t="shared" si="52"/>
        <v>10582.05</v>
      </c>
      <c r="AJ27" s="134">
        <f t="shared" si="53"/>
        <v>15079421.249999998</v>
      </c>
      <c r="AK27" s="234">
        <f t="shared" si="54"/>
        <v>15079421.25</v>
      </c>
    </row>
    <row r="28" spans="1:37" s="138" customFormat="1" ht="16.2" customHeight="1" thickBot="1">
      <c r="A28" s="120">
        <v>7</v>
      </c>
      <c r="B28" s="121" t="s">
        <v>8</v>
      </c>
      <c r="C28" s="122"/>
      <c r="D28" s="139" t="s">
        <v>79</v>
      </c>
      <c r="E28" s="139" t="s">
        <v>80</v>
      </c>
      <c r="F28" s="139">
        <v>5</v>
      </c>
      <c r="G28" s="84">
        <v>1700</v>
      </c>
      <c r="H28" s="125">
        <f t="shared" si="27"/>
        <v>34</v>
      </c>
      <c r="I28" s="126">
        <f t="shared" si="28"/>
        <v>1734</v>
      </c>
      <c r="J28" s="127">
        <v>0.21</v>
      </c>
      <c r="K28" s="128">
        <f t="shared" si="29"/>
        <v>364.14</v>
      </c>
      <c r="L28" s="129">
        <v>0</v>
      </c>
      <c r="M28" s="128">
        <f t="shared" si="30"/>
        <v>0</v>
      </c>
      <c r="N28" s="128">
        <f t="shared" si="31"/>
        <v>1734</v>
      </c>
      <c r="O28" s="128">
        <f t="shared" si="32"/>
        <v>2098.14</v>
      </c>
      <c r="P28" s="130">
        <f t="shared" si="33"/>
        <v>170</v>
      </c>
      <c r="Q28" s="128">
        <f t="shared" si="34"/>
        <v>8670</v>
      </c>
      <c r="R28" s="128">
        <f t="shared" si="35"/>
        <v>1820.6999999999998</v>
      </c>
      <c r="S28" s="128">
        <f t="shared" si="36"/>
        <v>0</v>
      </c>
      <c r="T28" s="128">
        <f t="shared" si="37"/>
        <v>8670</v>
      </c>
      <c r="U28" s="131">
        <f t="shared" si="38"/>
        <v>10490.7</v>
      </c>
      <c r="V28" s="132">
        <f t="shared" si="39"/>
        <v>3129.96</v>
      </c>
      <c r="W28" s="133">
        <f t="shared" si="40"/>
        <v>687.06</v>
      </c>
      <c r="X28" s="133">
        <f t="shared" si="41"/>
        <v>3817.02</v>
      </c>
      <c r="Y28" s="133">
        <f t="shared" si="42"/>
        <v>0</v>
      </c>
      <c r="Z28" s="133">
        <f t="shared" si="43"/>
        <v>3817.02</v>
      </c>
      <c r="AA28" s="133">
        <f t="shared" si="44"/>
        <v>801.57</v>
      </c>
      <c r="AB28" s="183">
        <f t="shared" si="45"/>
        <v>4618.59</v>
      </c>
      <c r="AC28" s="181">
        <f t="shared" si="46"/>
        <v>6581490.75</v>
      </c>
      <c r="AD28" s="135">
        <f t="shared" si="47"/>
        <v>15649.8</v>
      </c>
      <c r="AE28" s="136">
        <f t="shared" si="48"/>
        <v>3435.2999999999997</v>
      </c>
      <c r="AF28" s="136">
        <f t="shared" si="49"/>
        <v>0</v>
      </c>
      <c r="AG28" s="133">
        <f t="shared" si="50"/>
        <v>19085.099999999999</v>
      </c>
      <c r="AH28" s="133">
        <f t="shared" si="51"/>
        <v>4007.85</v>
      </c>
      <c r="AI28" s="137">
        <f t="shared" si="52"/>
        <v>23092.949999999997</v>
      </c>
      <c r="AJ28" s="134">
        <f t="shared" si="53"/>
        <v>32907453.749999996</v>
      </c>
      <c r="AK28" s="234">
        <f t="shared" si="54"/>
        <v>32907453.75</v>
      </c>
    </row>
    <row r="29" spans="1:37" s="161" customFormat="1" ht="16.2" customHeight="1" thickBot="1">
      <c r="A29" s="141">
        <v>8</v>
      </c>
      <c r="B29" s="142" t="s">
        <v>8</v>
      </c>
      <c r="C29" s="143"/>
      <c r="D29" s="79" t="s">
        <v>81</v>
      </c>
      <c r="E29" s="79" t="s">
        <v>82</v>
      </c>
      <c r="F29" s="79">
        <v>1</v>
      </c>
      <c r="G29" s="147">
        <f>5351480/1415</f>
        <v>3781.964664310954</v>
      </c>
      <c r="H29" s="148">
        <f t="shared" si="27"/>
        <v>75.639293286219086</v>
      </c>
      <c r="I29" s="149">
        <f t="shared" si="28"/>
        <v>3857.6039575971731</v>
      </c>
      <c r="J29" s="150">
        <v>0.21</v>
      </c>
      <c r="K29" s="151">
        <f t="shared" si="29"/>
        <v>810.09683109540629</v>
      </c>
      <c r="L29" s="152">
        <v>0</v>
      </c>
      <c r="M29" s="151">
        <f t="shared" si="30"/>
        <v>0</v>
      </c>
      <c r="N29" s="151">
        <f t="shared" si="31"/>
        <v>3857.6039575971731</v>
      </c>
      <c r="O29" s="151">
        <f t="shared" si="32"/>
        <v>4667.7007886925794</v>
      </c>
      <c r="P29" s="153">
        <f t="shared" si="33"/>
        <v>75.639293286219086</v>
      </c>
      <c r="Q29" s="151">
        <f t="shared" si="34"/>
        <v>3857.6039575971731</v>
      </c>
      <c r="R29" s="151">
        <f t="shared" si="35"/>
        <v>810.09683109540629</v>
      </c>
      <c r="S29" s="151">
        <f t="shared" si="36"/>
        <v>0</v>
      </c>
      <c r="T29" s="151">
        <f t="shared" si="37"/>
        <v>3857.6039575971731</v>
      </c>
      <c r="U29" s="154">
        <f t="shared" si="38"/>
        <v>4667.7007886925794</v>
      </c>
      <c r="V29" s="155">
        <f t="shared" si="39"/>
        <v>6963.18</v>
      </c>
      <c r="W29" s="156">
        <f t="shared" si="40"/>
        <v>1528.5</v>
      </c>
      <c r="X29" s="156">
        <f t="shared" si="41"/>
        <v>8491.68</v>
      </c>
      <c r="Y29" s="156">
        <f t="shared" si="42"/>
        <v>0</v>
      </c>
      <c r="Z29" s="156">
        <f t="shared" si="43"/>
        <v>8491.68</v>
      </c>
      <c r="AA29" s="156">
        <f t="shared" si="44"/>
        <v>1783.25</v>
      </c>
      <c r="AB29" s="183">
        <f t="shared" si="45"/>
        <v>10274.93</v>
      </c>
      <c r="AC29" s="181">
        <f t="shared" si="46"/>
        <v>14641775.25</v>
      </c>
      <c r="AD29" s="158">
        <f t="shared" si="47"/>
        <v>6963.18</v>
      </c>
      <c r="AE29" s="159">
        <f t="shared" si="48"/>
        <v>1528.5</v>
      </c>
      <c r="AF29" s="159">
        <f t="shared" si="49"/>
        <v>0</v>
      </c>
      <c r="AG29" s="156">
        <f t="shared" si="50"/>
        <v>8491.68</v>
      </c>
      <c r="AH29" s="156">
        <f t="shared" si="51"/>
        <v>1783.25</v>
      </c>
      <c r="AI29" s="160">
        <f t="shared" si="52"/>
        <v>10274.93</v>
      </c>
      <c r="AJ29" s="157">
        <f t="shared" si="53"/>
        <v>14641775.25</v>
      </c>
      <c r="AK29" s="234">
        <f t="shared" si="54"/>
        <v>14641775.25</v>
      </c>
    </row>
    <row r="30" spans="1:37" s="138" customFormat="1">
      <c r="A30" s="44">
        <v>9</v>
      </c>
      <c r="B30" s="121" t="s">
        <v>8</v>
      </c>
      <c r="C30" s="122"/>
      <c r="D30" s="139" t="s">
        <v>83</v>
      </c>
      <c r="E30" s="139" t="s">
        <v>84</v>
      </c>
      <c r="F30" s="139">
        <v>230</v>
      </c>
      <c r="G30" s="84">
        <v>2.1</v>
      </c>
      <c r="H30" s="125">
        <f t="shared" si="27"/>
        <v>4.2000000000000003E-2</v>
      </c>
      <c r="I30" s="126">
        <f t="shared" si="28"/>
        <v>2.1419999999999999</v>
      </c>
      <c r="J30" s="127">
        <v>0.21</v>
      </c>
      <c r="K30" s="128">
        <f t="shared" si="29"/>
        <v>0.44981999999999994</v>
      </c>
      <c r="L30" s="129">
        <v>0</v>
      </c>
      <c r="M30" s="128">
        <f t="shared" si="30"/>
        <v>0</v>
      </c>
      <c r="N30" s="128">
        <f t="shared" si="31"/>
        <v>2.1419999999999999</v>
      </c>
      <c r="O30" s="128">
        <f t="shared" si="32"/>
        <v>2.5918199999999998</v>
      </c>
      <c r="P30" s="130">
        <f t="shared" si="33"/>
        <v>9.66</v>
      </c>
      <c r="Q30" s="128">
        <f t="shared" si="34"/>
        <v>492.65999999999997</v>
      </c>
      <c r="R30" s="128">
        <f t="shared" si="35"/>
        <v>103.45859999999999</v>
      </c>
      <c r="S30" s="128">
        <f t="shared" si="36"/>
        <v>0</v>
      </c>
      <c r="T30" s="128">
        <f t="shared" si="37"/>
        <v>492.65999999999997</v>
      </c>
      <c r="U30" s="131">
        <f t="shared" si="38"/>
        <v>596.11860000000001</v>
      </c>
      <c r="V30" s="132">
        <f t="shared" si="39"/>
        <v>3.87</v>
      </c>
      <c r="W30" s="133">
        <f t="shared" si="40"/>
        <v>0.84999999999999964</v>
      </c>
      <c r="X30" s="133">
        <f t="shared" si="41"/>
        <v>4.72</v>
      </c>
      <c r="Y30" s="133">
        <f t="shared" si="42"/>
        <v>0</v>
      </c>
      <c r="Z30" s="133">
        <f t="shared" si="43"/>
        <v>4.72</v>
      </c>
      <c r="AA30" s="133">
        <f t="shared" si="44"/>
        <v>0.99</v>
      </c>
      <c r="AB30" s="183">
        <f t="shared" si="45"/>
        <v>5.71</v>
      </c>
      <c r="AC30" s="181">
        <f t="shared" si="46"/>
        <v>8136.75</v>
      </c>
      <c r="AD30" s="135">
        <f t="shared" si="47"/>
        <v>890.1</v>
      </c>
      <c r="AE30" s="136">
        <f t="shared" si="48"/>
        <v>195.49999999999991</v>
      </c>
      <c r="AF30" s="136">
        <f t="shared" si="49"/>
        <v>0</v>
      </c>
      <c r="AG30" s="133">
        <f t="shared" si="50"/>
        <v>1085.5999999999999</v>
      </c>
      <c r="AH30" s="133">
        <f t="shared" si="51"/>
        <v>227.7</v>
      </c>
      <c r="AI30" s="137">
        <f t="shared" si="52"/>
        <v>1313.3</v>
      </c>
      <c r="AJ30" s="134">
        <f t="shared" si="53"/>
        <v>1871452.5</v>
      </c>
      <c r="AK30" s="234">
        <f t="shared" si="54"/>
        <v>1871452.5</v>
      </c>
    </row>
    <row r="31" spans="1:37" s="138" customFormat="1">
      <c r="A31" s="120">
        <v>10</v>
      </c>
      <c r="B31" s="121" t="s">
        <v>8</v>
      </c>
      <c r="C31" s="122"/>
      <c r="D31" s="123" t="s">
        <v>85</v>
      </c>
      <c r="E31" s="124" t="s">
        <v>86</v>
      </c>
      <c r="F31" s="123">
        <v>100</v>
      </c>
      <c r="G31" s="84">
        <v>2.15</v>
      </c>
      <c r="H31" s="125">
        <f t="shared" si="27"/>
        <v>4.2999999999999997E-2</v>
      </c>
      <c r="I31" s="126">
        <f t="shared" si="28"/>
        <v>2.1930000000000001</v>
      </c>
      <c r="J31" s="127">
        <v>0.21</v>
      </c>
      <c r="K31" s="128">
        <f t="shared" si="29"/>
        <v>0.46052999999999999</v>
      </c>
      <c r="L31" s="129">
        <v>0</v>
      </c>
      <c r="M31" s="128">
        <f t="shared" si="30"/>
        <v>0</v>
      </c>
      <c r="N31" s="128">
        <f t="shared" si="31"/>
        <v>2.1930000000000001</v>
      </c>
      <c r="O31" s="128">
        <f t="shared" si="32"/>
        <v>2.6535299999999999</v>
      </c>
      <c r="P31" s="130">
        <f t="shared" si="33"/>
        <v>4.3</v>
      </c>
      <c r="Q31" s="128">
        <f t="shared" si="34"/>
        <v>219.3</v>
      </c>
      <c r="R31" s="128">
        <f t="shared" si="35"/>
        <v>46.052999999999997</v>
      </c>
      <c r="S31" s="128">
        <f t="shared" si="36"/>
        <v>0</v>
      </c>
      <c r="T31" s="128">
        <f t="shared" si="37"/>
        <v>219.3</v>
      </c>
      <c r="U31" s="131">
        <f t="shared" si="38"/>
        <v>265.35300000000001</v>
      </c>
      <c r="V31" s="132">
        <f t="shared" si="39"/>
        <v>3.96</v>
      </c>
      <c r="W31" s="133">
        <f t="shared" si="40"/>
        <v>0.87000000000000011</v>
      </c>
      <c r="X31" s="133">
        <f t="shared" si="41"/>
        <v>4.83</v>
      </c>
      <c r="Y31" s="133">
        <f t="shared" si="42"/>
        <v>0</v>
      </c>
      <c r="Z31" s="133">
        <f t="shared" si="43"/>
        <v>4.83</v>
      </c>
      <c r="AA31" s="133">
        <f t="shared" si="44"/>
        <v>1.01</v>
      </c>
      <c r="AB31" s="183">
        <f t="shared" si="45"/>
        <v>5.84</v>
      </c>
      <c r="AC31" s="181">
        <f t="shared" si="46"/>
        <v>8322</v>
      </c>
      <c r="AD31" s="135">
        <f t="shared" si="47"/>
        <v>396</v>
      </c>
      <c r="AE31" s="136">
        <f t="shared" si="48"/>
        <v>87.000000000000014</v>
      </c>
      <c r="AF31" s="136">
        <f t="shared" si="49"/>
        <v>0</v>
      </c>
      <c r="AG31" s="133">
        <f t="shared" si="50"/>
        <v>483</v>
      </c>
      <c r="AH31" s="133">
        <f t="shared" si="51"/>
        <v>101</v>
      </c>
      <c r="AI31" s="137">
        <f t="shared" si="52"/>
        <v>584</v>
      </c>
      <c r="AJ31" s="134">
        <f t="shared" si="53"/>
        <v>832200</v>
      </c>
      <c r="AK31" s="234">
        <f t="shared" si="54"/>
        <v>832200</v>
      </c>
    </row>
    <row r="32" spans="1:37" s="161" customFormat="1">
      <c r="A32" s="141">
        <v>11</v>
      </c>
      <c r="B32" s="142" t="s">
        <v>8</v>
      </c>
      <c r="C32" s="143"/>
      <c r="D32" s="144" t="s">
        <v>87</v>
      </c>
      <c r="E32" s="145" t="s">
        <v>88</v>
      </c>
      <c r="F32" s="146">
        <v>5</v>
      </c>
      <c r="G32" s="147">
        <f>70000/1415</f>
        <v>49.469964664310957</v>
      </c>
      <c r="H32" s="148">
        <f t="shared" si="27"/>
        <v>0.98939929328621912</v>
      </c>
      <c r="I32" s="149">
        <f t="shared" si="28"/>
        <v>50.459363957597176</v>
      </c>
      <c r="J32" s="150">
        <v>0.21</v>
      </c>
      <c r="K32" s="151">
        <f t="shared" si="29"/>
        <v>10.596466431095406</v>
      </c>
      <c r="L32" s="152">
        <v>0</v>
      </c>
      <c r="M32" s="151">
        <f t="shared" si="30"/>
        <v>0</v>
      </c>
      <c r="N32" s="151">
        <f t="shared" si="31"/>
        <v>50.459363957597176</v>
      </c>
      <c r="O32" s="151">
        <f t="shared" si="32"/>
        <v>61.055830388692584</v>
      </c>
      <c r="P32" s="153">
        <f t="shared" si="33"/>
        <v>4.9469964664310959</v>
      </c>
      <c r="Q32" s="151">
        <f t="shared" si="34"/>
        <v>252.2968197879859</v>
      </c>
      <c r="R32" s="151">
        <f t="shared" si="35"/>
        <v>52.982332155477032</v>
      </c>
      <c r="S32" s="151">
        <f t="shared" si="36"/>
        <v>0</v>
      </c>
      <c r="T32" s="151">
        <f t="shared" si="37"/>
        <v>252.2968197879859</v>
      </c>
      <c r="U32" s="154">
        <f t="shared" si="38"/>
        <v>305.27915194346292</v>
      </c>
      <c r="V32" s="155">
        <f t="shared" si="39"/>
        <v>91.08</v>
      </c>
      <c r="W32" s="156">
        <f t="shared" si="40"/>
        <v>19.989999999999995</v>
      </c>
      <c r="X32" s="156">
        <f t="shared" si="41"/>
        <v>111.07</v>
      </c>
      <c r="Y32" s="156">
        <f t="shared" si="42"/>
        <v>0</v>
      </c>
      <c r="Z32" s="156">
        <f t="shared" si="43"/>
        <v>111.07</v>
      </c>
      <c r="AA32" s="156">
        <f t="shared" si="44"/>
        <v>23.32</v>
      </c>
      <c r="AB32" s="183">
        <f t="shared" si="45"/>
        <v>134.38999999999999</v>
      </c>
      <c r="AC32" s="181">
        <f t="shared" si="46"/>
        <v>191505.75</v>
      </c>
      <c r="AD32" s="158">
        <f t="shared" si="47"/>
        <v>455.4</v>
      </c>
      <c r="AE32" s="159">
        <f t="shared" si="48"/>
        <v>99.949999999999974</v>
      </c>
      <c r="AF32" s="159">
        <f t="shared" si="49"/>
        <v>0</v>
      </c>
      <c r="AG32" s="156">
        <f t="shared" si="50"/>
        <v>555.35</v>
      </c>
      <c r="AH32" s="156">
        <f t="shared" si="51"/>
        <v>116.6</v>
      </c>
      <c r="AI32" s="160">
        <f t="shared" si="52"/>
        <v>671.95</v>
      </c>
      <c r="AJ32" s="157">
        <f t="shared" si="53"/>
        <v>957528.75000000012</v>
      </c>
      <c r="AK32" s="234">
        <f t="shared" si="54"/>
        <v>957528.75</v>
      </c>
    </row>
    <row r="33" spans="1:37" s="138" customFormat="1">
      <c r="A33" s="120">
        <v>12</v>
      </c>
      <c r="B33" s="121" t="s">
        <v>8</v>
      </c>
      <c r="C33" s="122"/>
      <c r="D33" s="123" t="s">
        <v>89</v>
      </c>
      <c r="E33" s="124" t="s">
        <v>90</v>
      </c>
      <c r="F33" s="123">
        <v>5</v>
      </c>
      <c r="G33" s="84">
        <v>50</v>
      </c>
      <c r="H33" s="125">
        <f t="shared" si="27"/>
        <v>1</v>
      </c>
      <c r="I33" s="126">
        <f t="shared" si="28"/>
        <v>51</v>
      </c>
      <c r="J33" s="127">
        <v>0.21</v>
      </c>
      <c r="K33" s="128">
        <f t="shared" si="29"/>
        <v>10.709999999999999</v>
      </c>
      <c r="L33" s="129">
        <v>0</v>
      </c>
      <c r="M33" s="128">
        <f t="shared" si="30"/>
        <v>0</v>
      </c>
      <c r="N33" s="128">
        <f t="shared" si="31"/>
        <v>51</v>
      </c>
      <c r="O33" s="128">
        <f t="shared" si="32"/>
        <v>61.71</v>
      </c>
      <c r="P33" s="130">
        <f t="shared" si="33"/>
        <v>5</v>
      </c>
      <c r="Q33" s="128">
        <f t="shared" si="34"/>
        <v>255</v>
      </c>
      <c r="R33" s="128">
        <f t="shared" si="35"/>
        <v>53.55</v>
      </c>
      <c r="S33" s="128">
        <f t="shared" si="36"/>
        <v>0</v>
      </c>
      <c r="T33" s="128">
        <f t="shared" si="37"/>
        <v>255</v>
      </c>
      <c r="U33" s="131">
        <f t="shared" si="38"/>
        <v>308.55</v>
      </c>
      <c r="V33" s="132">
        <f t="shared" si="39"/>
        <v>92.06</v>
      </c>
      <c r="W33" s="133">
        <f t="shared" si="40"/>
        <v>20.209999999999994</v>
      </c>
      <c r="X33" s="133">
        <f t="shared" si="41"/>
        <v>112.27</v>
      </c>
      <c r="Y33" s="133">
        <f t="shared" si="42"/>
        <v>0</v>
      </c>
      <c r="Z33" s="133">
        <f t="shared" si="43"/>
        <v>112.27</v>
      </c>
      <c r="AA33" s="133">
        <f t="shared" si="44"/>
        <v>23.58</v>
      </c>
      <c r="AB33" s="183">
        <f t="shared" si="45"/>
        <v>135.85</v>
      </c>
      <c r="AC33" s="181">
        <f t="shared" si="46"/>
        <v>193586.25</v>
      </c>
      <c r="AD33" s="135">
        <f t="shared" si="47"/>
        <v>460.3</v>
      </c>
      <c r="AE33" s="136">
        <f t="shared" si="48"/>
        <v>101.04999999999997</v>
      </c>
      <c r="AF33" s="136">
        <f t="shared" si="49"/>
        <v>0</v>
      </c>
      <c r="AG33" s="133">
        <f t="shared" si="50"/>
        <v>561.35</v>
      </c>
      <c r="AH33" s="133">
        <f t="shared" si="51"/>
        <v>117.9</v>
      </c>
      <c r="AI33" s="137">
        <f t="shared" si="52"/>
        <v>679.25</v>
      </c>
      <c r="AJ33" s="134">
        <f t="shared" si="53"/>
        <v>967931.25</v>
      </c>
      <c r="AK33" s="234">
        <f t="shared" si="54"/>
        <v>967931.25</v>
      </c>
    </row>
    <row r="34" spans="1:37" s="138" customFormat="1">
      <c r="A34" s="44">
        <v>13</v>
      </c>
      <c r="B34" s="121" t="s">
        <v>8</v>
      </c>
      <c r="C34" s="122"/>
      <c r="D34" s="123" t="s">
        <v>91</v>
      </c>
      <c r="E34" s="124" t="s">
        <v>92</v>
      </c>
      <c r="F34" s="123">
        <v>30</v>
      </c>
      <c r="G34" s="84">
        <v>2.5</v>
      </c>
      <c r="H34" s="125">
        <f t="shared" si="27"/>
        <v>0.05</v>
      </c>
      <c r="I34" s="126">
        <f t="shared" si="28"/>
        <v>2.5499999999999998</v>
      </c>
      <c r="J34" s="127">
        <v>0.21</v>
      </c>
      <c r="K34" s="128">
        <f t="shared" si="29"/>
        <v>0.53549999999999998</v>
      </c>
      <c r="L34" s="129">
        <v>0</v>
      </c>
      <c r="M34" s="128">
        <f t="shared" si="30"/>
        <v>0</v>
      </c>
      <c r="N34" s="128">
        <f t="shared" si="31"/>
        <v>2.5499999999999998</v>
      </c>
      <c r="O34" s="128">
        <f t="shared" si="32"/>
        <v>3.0854999999999997</v>
      </c>
      <c r="P34" s="130">
        <f t="shared" si="33"/>
        <v>1.5</v>
      </c>
      <c r="Q34" s="128">
        <f t="shared" si="34"/>
        <v>76.5</v>
      </c>
      <c r="R34" s="128">
        <f t="shared" si="35"/>
        <v>16.064999999999998</v>
      </c>
      <c r="S34" s="128">
        <f t="shared" si="36"/>
        <v>0</v>
      </c>
      <c r="T34" s="128">
        <f t="shared" si="37"/>
        <v>76.5</v>
      </c>
      <c r="U34" s="131">
        <f t="shared" si="38"/>
        <v>92.564999999999998</v>
      </c>
      <c r="V34" s="132">
        <f t="shared" si="39"/>
        <v>4.5999999999999996</v>
      </c>
      <c r="W34" s="133">
        <f t="shared" si="40"/>
        <v>1.0100000000000007</v>
      </c>
      <c r="X34" s="133">
        <f t="shared" si="41"/>
        <v>5.61</v>
      </c>
      <c r="Y34" s="133">
        <f t="shared" si="42"/>
        <v>0</v>
      </c>
      <c r="Z34" s="133">
        <f t="shared" si="43"/>
        <v>5.61</v>
      </c>
      <c r="AA34" s="133">
        <f t="shared" si="44"/>
        <v>1.18</v>
      </c>
      <c r="AB34" s="183">
        <f t="shared" si="45"/>
        <v>6.79</v>
      </c>
      <c r="AC34" s="181">
        <f t="shared" si="46"/>
        <v>9675.75</v>
      </c>
      <c r="AD34" s="135">
        <f t="shared" si="47"/>
        <v>138</v>
      </c>
      <c r="AE34" s="136">
        <f t="shared" si="48"/>
        <v>30.300000000000018</v>
      </c>
      <c r="AF34" s="136">
        <f t="shared" si="49"/>
        <v>0</v>
      </c>
      <c r="AG34" s="133">
        <f t="shared" si="50"/>
        <v>168.3</v>
      </c>
      <c r="AH34" s="133">
        <f t="shared" si="51"/>
        <v>35.4</v>
      </c>
      <c r="AI34" s="137">
        <f t="shared" si="52"/>
        <v>203.70000000000002</v>
      </c>
      <c r="AJ34" s="134">
        <f t="shared" si="53"/>
        <v>290272.5</v>
      </c>
      <c r="AK34" s="234">
        <f t="shared" si="54"/>
        <v>290272.5</v>
      </c>
    </row>
    <row r="35" spans="1:37" s="138" customFormat="1">
      <c r="A35" s="120">
        <v>14</v>
      </c>
      <c r="B35" s="121" t="s">
        <v>8</v>
      </c>
      <c r="C35" s="122"/>
      <c r="D35" s="123" t="s">
        <v>93</v>
      </c>
      <c r="E35" s="124" t="s">
        <v>94</v>
      </c>
      <c r="F35" s="123">
        <v>60</v>
      </c>
      <c r="G35" s="84">
        <v>2.75</v>
      </c>
      <c r="H35" s="125">
        <f t="shared" si="27"/>
        <v>5.5E-2</v>
      </c>
      <c r="I35" s="126">
        <f t="shared" si="28"/>
        <v>2.8050000000000002</v>
      </c>
      <c r="J35" s="127">
        <v>0.21</v>
      </c>
      <c r="K35" s="128">
        <f t="shared" si="29"/>
        <v>0.58904999999999996</v>
      </c>
      <c r="L35" s="129">
        <v>0</v>
      </c>
      <c r="M35" s="128">
        <f t="shared" si="30"/>
        <v>0</v>
      </c>
      <c r="N35" s="128">
        <f t="shared" si="31"/>
        <v>2.8050000000000002</v>
      </c>
      <c r="O35" s="128">
        <f t="shared" si="32"/>
        <v>3.39405</v>
      </c>
      <c r="P35" s="130">
        <f t="shared" si="33"/>
        <v>3.3</v>
      </c>
      <c r="Q35" s="128">
        <f t="shared" si="34"/>
        <v>168.3</v>
      </c>
      <c r="R35" s="128">
        <f t="shared" si="35"/>
        <v>35.342999999999996</v>
      </c>
      <c r="S35" s="128">
        <f t="shared" si="36"/>
        <v>0</v>
      </c>
      <c r="T35" s="128">
        <f t="shared" si="37"/>
        <v>168.3</v>
      </c>
      <c r="U35" s="131">
        <f t="shared" si="38"/>
        <v>203.643</v>
      </c>
      <c r="V35" s="132">
        <f t="shared" si="39"/>
        <v>5.0599999999999996</v>
      </c>
      <c r="W35" s="133">
        <f t="shared" si="40"/>
        <v>1.1100000000000003</v>
      </c>
      <c r="X35" s="133">
        <f t="shared" si="41"/>
        <v>6.17</v>
      </c>
      <c r="Y35" s="133">
        <f t="shared" si="42"/>
        <v>0</v>
      </c>
      <c r="Z35" s="133">
        <f t="shared" si="43"/>
        <v>6.17</v>
      </c>
      <c r="AA35" s="133">
        <f t="shared" si="44"/>
        <v>1.3</v>
      </c>
      <c r="AB35" s="183">
        <f t="shared" si="45"/>
        <v>7.47</v>
      </c>
      <c r="AC35" s="181">
        <f t="shared" si="46"/>
        <v>10644.75</v>
      </c>
      <c r="AD35" s="135">
        <f t="shared" si="47"/>
        <v>303.59999999999997</v>
      </c>
      <c r="AE35" s="136">
        <f t="shared" si="48"/>
        <v>66.600000000000023</v>
      </c>
      <c r="AF35" s="136">
        <f t="shared" si="49"/>
        <v>0</v>
      </c>
      <c r="AG35" s="133">
        <f t="shared" si="50"/>
        <v>370.2</v>
      </c>
      <c r="AH35" s="133">
        <f t="shared" si="51"/>
        <v>78</v>
      </c>
      <c r="AI35" s="137">
        <f t="shared" si="52"/>
        <v>448.2</v>
      </c>
      <c r="AJ35" s="134">
        <f t="shared" si="53"/>
        <v>638685</v>
      </c>
      <c r="AK35" s="234">
        <f t="shared" si="54"/>
        <v>638685</v>
      </c>
    </row>
    <row r="36" spans="1:37" s="138" customFormat="1">
      <c r="A36" s="44">
        <v>15</v>
      </c>
      <c r="B36" s="121" t="s">
        <v>8</v>
      </c>
      <c r="C36" s="122"/>
      <c r="D36" s="123" t="s">
        <v>95</v>
      </c>
      <c r="E36" s="124" t="s">
        <v>96</v>
      </c>
      <c r="F36" s="123">
        <v>12</v>
      </c>
      <c r="G36" s="84">
        <v>9</v>
      </c>
      <c r="H36" s="125">
        <f t="shared" si="27"/>
        <v>0.18</v>
      </c>
      <c r="I36" s="126">
        <f t="shared" si="28"/>
        <v>9.18</v>
      </c>
      <c r="J36" s="127">
        <v>0.21</v>
      </c>
      <c r="K36" s="128">
        <f t="shared" si="29"/>
        <v>1.9278</v>
      </c>
      <c r="L36" s="129">
        <v>0</v>
      </c>
      <c r="M36" s="128">
        <f t="shared" si="30"/>
        <v>0</v>
      </c>
      <c r="N36" s="128">
        <f t="shared" si="31"/>
        <v>9.18</v>
      </c>
      <c r="O36" s="128">
        <f t="shared" si="32"/>
        <v>11.107799999999999</v>
      </c>
      <c r="P36" s="130">
        <f t="shared" si="33"/>
        <v>2.16</v>
      </c>
      <c r="Q36" s="128">
        <f t="shared" si="34"/>
        <v>110.16</v>
      </c>
      <c r="R36" s="128">
        <f t="shared" si="35"/>
        <v>23.133600000000001</v>
      </c>
      <c r="S36" s="128">
        <f t="shared" si="36"/>
        <v>0</v>
      </c>
      <c r="T36" s="128">
        <f t="shared" si="37"/>
        <v>110.16</v>
      </c>
      <c r="U36" s="131">
        <f t="shared" si="38"/>
        <v>133.2936</v>
      </c>
      <c r="V36" s="132">
        <f t="shared" si="39"/>
        <v>16.57</v>
      </c>
      <c r="W36" s="133">
        <f t="shared" si="40"/>
        <v>3.6400000000000006</v>
      </c>
      <c r="X36" s="133">
        <f t="shared" si="41"/>
        <v>20.21</v>
      </c>
      <c r="Y36" s="133">
        <f t="shared" si="42"/>
        <v>0</v>
      </c>
      <c r="Z36" s="133">
        <f t="shared" si="43"/>
        <v>20.21</v>
      </c>
      <c r="AA36" s="133">
        <f t="shared" si="44"/>
        <v>4.24</v>
      </c>
      <c r="AB36" s="183">
        <f t="shared" si="45"/>
        <v>24.45</v>
      </c>
      <c r="AC36" s="181">
        <f t="shared" si="46"/>
        <v>34841.25</v>
      </c>
      <c r="AD36" s="135">
        <f t="shared" si="47"/>
        <v>198.84</v>
      </c>
      <c r="AE36" s="136">
        <f t="shared" si="48"/>
        <v>43.680000000000007</v>
      </c>
      <c r="AF36" s="136">
        <f t="shared" si="49"/>
        <v>0</v>
      </c>
      <c r="AG36" s="133">
        <f t="shared" si="50"/>
        <v>242.52</v>
      </c>
      <c r="AH36" s="133">
        <f t="shared" si="51"/>
        <v>50.88</v>
      </c>
      <c r="AI36" s="137">
        <f t="shared" si="52"/>
        <v>293.40000000000003</v>
      </c>
      <c r="AJ36" s="134">
        <f t="shared" si="53"/>
        <v>418095.00000000006</v>
      </c>
      <c r="AK36" s="234">
        <f t="shared" si="54"/>
        <v>418095</v>
      </c>
    </row>
    <row r="37" spans="1:37" s="161" customFormat="1">
      <c r="A37" s="141">
        <v>16</v>
      </c>
      <c r="B37" s="142" t="s">
        <v>8</v>
      </c>
      <c r="C37" s="143"/>
      <c r="D37" s="144" t="s">
        <v>97</v>
      </c>
      <c r="E37" s="145" t="s">
        <v>98</v>
      </c>
      <c r="F37" s="146">
        <v>20</v>
      </c>
      <c r="G37" s="147">
        <f>50000/1415</f>
        <v>35.335689045936398</v>
      </c>
      <c r="H37" s="148">
        <f t="shared" si="27"/>
        <v>0.70671378091872794</v>
      </c>
      <c r="I37" s="149">
        <f t="shared" si="28"/>
        <v>36.042402826855124</v>
      </c>
      <c r="J37" s="150">
        <v>0.21</v>
      </c>
      <c r="K37" s="151">
        <f t="shared" si="29"/>
        <v>7.5689045936395756</v>
      </c>
      <c r="L37" s="152">
        <v>0</v>
      </c>
      <c r="M37" s="151">
        <f t="shared" si="30"/>
        <v>0</v>
      </c>
      <c r="N37" s="151">
        <f t="shared" si="31"/>
        <v>36.042402826855124</v>
      </c>
      <c r="O37" s="151">
        <f t="shared" si="32"/>
        <v>43.611307420494697</v>
      </c>
      <c r="P37" s="153">
        <f t="shared" si="33"/>
        <v>14.134275618374559</v>
      </c>
      <c r="Q37" s="151">
        <f t="shared" si="34"/>
        <v>720.84805653710248</v>
      </c>
      <c r="R37" s="151">
        <f t="shared" si="35"/>
        <v>151.37809187279152</v>
      </c>
      <c r="S37" s="151">
        <f t="shared" si="36"/>
        <v>0</v>
      </c>
      <c r="T37" s="151">
        <f t="shared" si="37"/>
        <v>720.84805653710248</v>
      </c>
      <c r="U37" s="154">
        <f t="shared" si="38"/>
        <v>872.22614840989399</v>
      </c>
      <c r="V37" s="155">
        <f t="shared" si="39"/>
        <v>65.06</v>
      </c>
      <c r="W37" s="156">
        <f t="shared" si="40"/>
        <v>14.280000000000001</v>
      </c>
      <c r="X37" s="156">
        <f t="shared" si="41"/>
        <v>79.34</v>
      </c>
      <c r="Y37" s="156">
        <f t="shared" si="42"/>
        <v>0</v>
      </c>
      <c r="Z37" s="156">
        <f t="shared" si="43"/>
        <v>79.34</v>
      </c>
      <c r="AA37" s="156">
        <f t="shared" si="44"/>
        <v>16.66</v>
      </c>
      <c r="AB37" s="183">
        <f t="shared" si="45"/>
        <v>96</v>
      </c>
      <c r="AC37" s="181">
        <f t="shared" si="46"/>
        <v>136800</v>
      </c>
      <c r="AD37" s="158">
        <f t="shared" si="47"/>
        <v>1301.2</v>
      </c>
      <c r="AE37" s="159">
        <f t="shared" si="48"/>
        <v>285.60000000000002</v>
      </c>
      <c r="AF37" s="159">
        <f t="shared" si="49"/>
        <v>0</v>
      </c>
      <c r="AG37" s="156">
        <f t="shared" si="50"/>
        <v>1586.8</v>
      </c>
      <c r="AH37" s="156">
        <f t="shared" si="51"/>
        <v>333.2</v>
      </c>
      <c r="AI37" s="160">
        <f t="shared" si="52"/>
        <v>1920</v>
      </c>
      <c r="AJ37" s="157">
        <f t="shared" si="53"/>
        <v>2736000</v>
      </c>
      <c r="AK37" s="234">
        <f t="shared" si="54"/>
        <v>2736000</v>
      </c>
    </row>
    <row r="38" spans="1:37" ht="21" customHeight="1">
      <c r="D38" s="140"/>
      <c r="T38" s="91">
        <f>SUM(T22:T37)</f>
        <v>23981.248833922262</v>
      </c>
      <c r="U38" s="167">
        <f>SUM(U22:U37)</f>
        <v>29017.311089045932</v>
      </c>
      <c r="AG38" s="80">
        <f>SUM(AG22:AG37)</f>
        <v>52792.079999999994</v>
      </c>
      <c r="AH38" s="80">
        <f>SUM(AH22:AH37)</f>
        <v>11085.49</v>
      </c>
      <c r="AI38" s="80">
        <f>SUM(AI22:AI37)</f>
        <v>63877.569999999992</v>
      </c>
      <c r="AJ38" s="81">
        <f>SUM(AJ22:AJ37)</f>
        <v>91025537.25</v>
      </c>
      <c r="AK38" s="235">
        <f>SUM(AK22:AK37)</f>
        <v>91025537.25</v>
      </c>
    </row>
    <row r="41" spans="1:37" ht="21" customHeight="1">
      <c r="T41" s="170">
        <f>T6+T17+T38</f>
        <v>77638.348833922268</v>
      </c>
      <c r="U41" s="168">
        <f>U6+U17+U38</f>
        <v>92098.140089045934</v>
      </c>
      <c r="AG41" s="170">
        <f>AG6+AG17+AG38</f>
        <v>170906.35</v>
      </c>
      <c r="AH41" s="170">
        <f>AH6+AH17+AH38</f>
        <v>31829.439999999995</v>
      </c>
      <c r="AI41" s="170">
        <f>AI6+AI17+AI38</f>
        <v>202735.78999999998</v>
      </c>
      <c r="AJ41" s="169">
        <f>AJ6+AJ17+AJ38</f>
        <v>288898500.75</v>
      </c>
    </row>
    <row r="42" spans="1:37">
      <c r="AG42" s="171">
        <f>AG41*1425</f>
        <v>243541548.75</v>
      </c>
      <c r="AH42" s="171">
        <f>AH41*1425</f>
        <v>45356951.999999993</v>
      </c>
      <c r="AI42" s="180">
        <f>AJ41/1415</f>
        <v>204168.55176678445</v>
      </c>
      <c r="AJ42" s="171">
        <f>AG42+AH42</f>
        <v>288898500.75</v>
      </c>
    </row>
    <row r="44" spans="1:37" ht="18" customHeight="1">
      <c r="AH44" s="173" t="s">
        <v>99</v>
      </c>
      <c r="AI44" s="174">
        <v>205000</v>
      </c>
      <c r="AJ44" s="175">
        <f>AI44*1415</f>
        <v>290075000</v>
      </c>
    </row>
    <row r="45" spans="1:37" ht="18" customHeight="1">
      <c r="AH45" s="176" t="s">
        <v>100</v>
      </c>
      <c r="AI45" s="177">
        <f>AI44*1.1</f>
        <v>225500.00000000003</v>
      </c>
      <c r="AJ45" s="178">
        <f>AI45*1425</f>
        <v>321337500.00000006</v>
      </c>
    </row>
    <row r="46" spans="1:37" ht="16.2" customHeight="1" thickBot="1"/>
    <row r="47" spans="1:37" ht="28.2" customHeight="1" thickBot="1">
      <c r="C47" s="162" t="s">
        <v>101</v>
      </c>
      <c r="D47" s="162" t="s">
        <v>102</v>
      </c>
      <c r="E47" s="162" t="s">
        <v>103</v>
      </c>
      <c r="F47" s="162" t="s">
        <v>104</v>
      </c>
      <c r="G47" s="162" t="s">
        <v>105</v>
      </c>
      <c r="H47" s="162" t="s">
        <v>106</v>
      </c>
      <c r="I47" s="162" t="s">
        <v>107</v>
      </c>
      <c r="AH47" s="77"/>
      <c r="AI47" s="77"/>
      <c r="AJ47" s="172"/>
    </row>
    <row r="48" spans="1:37" ht="16.2" customHeight="1" thickBot="1">
      <c r="C48" s="163">
        <v>1</v>
      </c>
      <c r="D48" s="163" t="s">
        <v>108</v>
      </c>
      <c r="E48" s="163">
        <v>42</v>
      </c>
      <c r="F48" s="162">
        <v>59</v>
      </c>
      <c r="G48" s="163" t="s">
        <v>8</v>
      </c>
      <c r="H48" s="164">
        <v>19627.47</v>
      </c>
      <c r="I48" s="164">
        <v>1158020.73</v>
      </c>
      <c r="J48" s="166">
        <f t="shared" ref="J48:J59" si="55">F48*H48</f>
        <v>1158020.73</v>
      </c>
    </row>
    <row r="49" spans="3:10" ht="16.2" customHeight="1" thickBot="1">
      <c r="C49" s="163">
        <v>2</v>
      </c>
      <c r="D49" s="163" t="s">
        <v>109</v>
      </c>
      <c r="E49" s="163">
        <v>30</v>
      </c>
      <c r="F49" s="162">
        <v>42</v>
      </c>
      <c r="G49" s="163" t="s">
        <v>8</v>
      </c>
      <c r="H49" s="164">
        <v>13985.17</v>
      </c>
      <c r="I49" s="164">
        <v>587377.14</v>
      </c>
      <c r="J49" s="166">
        <f t="shared" si="55"/>
        <v>587377.14</v>
      </c>
    </row>
    <row r="50" spans="3:10" ht="16.2" customHeight="1" thickBot="1">
      <c r="C50" s="163">
        <v>3</v>
      </c>
      <c r="D50" s="163" t="s">
        <v>110</v>
      </c>
      <c r="E50" s="163">
        <v>84</v>
      </c>
      <c r="F50" s="162">
        <v>118</v>
      </c>
      <c r="G50" s="163" t="s">
        <v>8</v>
      </c>
      <c r="H50" s="164">
        <v>2266.56</v>
      </c>
      <c r="I50" s="164">
        <v>267454.08000000002</v>
      </c>
      <c r="J50" s="166">
        <f t="shared" si="55"/>
        <v>267454.08000000002</v>
      </c>
    </row>
    <row r="51" spans="3:10" ht="16.2" customHeight="1" thickBot="1">
      <c r="C51" s="163">
        <v>4</v>
      </c>
      <c r="D51" s="163" t="s">
        <v>111</v>
      </c>
      <c r="E51" s="163">
        <v>60</v>
      </c>
      <c r="F51" s="162">
        <v>84</v>
      </c>
      <c r="G51" s="163" t="s">
        <v>8</v>
      </c>
      <c r="H51" s="164">
        <v>1736.09</v>
      </c>
      <c r="I51" s="164">
        <v>145831.56</v>
      </c>
      <c r="J51" s="166">
        <f t="shared" si="55"/>
        <v>145831.56</v>
      </c>
    </row>
    <row r="52" spans="3:10" ht="16.2" customHeight="1" thickBot="1">
      <c r="C52" s="163">
        <v>5</v>
      </c>
      <c r="D52" s="163" t="s">
        <v>112</v>
      </c>
      <c r="E52" s="163">
        <v>3</v>
      </c>
      <c r="F52" s="162">
        <v>5</v>
      </c>
      <c r="G52" s="163" t="s">
        <v>8</v>
      </c>
      <c r="H52" s="164">
        <v>6655.01</v>
      </c>
      <c r="I52" s="164">
        <v>33275.050000000003</v>
      </c>
      <c r="J52" s="166">
        <f t="shared" si="55"/>
        <v>33275.050000000003</v>
      </c>
    </row>
    <row r="53" spans="3:10" ht="16.2" customHeight="1" thickBot="1">
      <c r="C53" s="163">
        <v>6</v>
      </c>
      <c r="D53" s="163" t="s">
        <v>113</v>
      </c>
      <c r="E53" s="163">
        <v>3</v>
      </c>
      <c r="F53" s="162">
        <v>5</v>
      </c>
      <c r="G53" s="163" t="s">
        <v>8</v>
      </c>
      <c r="H53" s="164">
        <v>4822.47</v>
      </c>
      <c r="I53" s="164">
        <v>24112.35</v>
      </c>
      <c r="J53" s="166">
        <f t="shared" si="55"/>
        <v>24112.350000000002</v>
      </c>
    </row>
    <row r="54" spans="3:10" ht="16.2" customHeight="1" thickBot="1">
      <c r="C54" s="163">
        <v>7</v>
      </c>
      <c r="D54" s="163" t="s">
        <v>114</v>
      </c>
      <c r="E54" s="163">
        <v>3</v>
      </c>
      <c r="F54" s="162">
        <v>5</v>
      </c>
      <c r="G54" s="163" t="s">
        <v>8</v>
      </c>
      <c r="H54" s="164">
        <v>5256.5</v>
      </c>
      <c r="I54" s="164">
        <v>26282.5</v>
      </c>
      <c r="J54" s="166">
        <f t="shared" si="55"/>
        <v>26282.5</v>
      </c>
    </row>
    <row r="55" spans="3:10" ht="16.2" customHeight="1" thickBot="1">
      <c r="C55" s="163">
        <v>8</v>
      </c>
      <c r="D55" s="163" t="s">
        <v>115</v>
      </c>
      <c r="E55" s="163">
        <v>4</v>
      </c>
      <c r="F55" s="162">
        <v>6</v>
      </c>
      <c r="G55" s="163" t="s">
        <v>8</v>
      </c>
      <c r="H55" s="164">
        <v>3568.63</v>
      </c>
      <c r="I55" s="164">
        <v>21411.78</v>
      </c>
      <c r="J55" s="166">
        <f t="shared" si="55"/>
        <v>21411.78</v>
      </c>
    </row>
    <row r="56" spans="3:10" ht="16.2" customHeight="1" thickBot="1">
      <c r="C56" s="163">
        <v>9</v>
      </c>
      <c r="D56" s="163" t="s">
        <v>116</v>
      </c>
      <c r="E56" s="163">
        <v>150</v>
      </c>
      <c r="F56" s="162">
        <v>210</v>
      </c>
      <c r="G56" s="163" t="s">
        <v>8</v>
      </c>
      <c r="H56" s="164">
        <v>2035.08</v>
      </c>
      <c r="I56" s="164">
        <v>427366.8</v>
      </c>
      <c r="J56" s="166">
        <f t="shared" si="55"/>
        <v>427366.8</v>
      </c>
    </row>
    <row r="57" spans="3:10" ht="16.2" customHeight="1" thickBot="1">
      <c r="C57" s="163">
        <v>10</v>
      </c>
      <c r="D57" s="163" t="s">
        <v>117</v>
      </c>
      <c r="E57" s="163">
        <v>150</v>
      </c>
      <c r="F57" s="162">
        <v>210</v>
      </c>
      <c r="G57" s="163" t="s">
        <v>8</v>
      </c>
      <c r="H57" s="164">
        <v>1900.05</v>
      </c>
      <c r="I57" s="164">
        <v>399010.5</v>
      </c>
      <c r="J57" s="166">
        <f t="shared" si="55"/>
        <v>399010.5</v>
      </c>
    </row>
    <row r="58" spans="3:10" ht="16.2" customHeight="1" thickBot="1">
      <c r="C58" s="163">
        <v>11</v>
      </c>
      <c r="D58" s="163" t="s">
        <v>118</v>
      </c>
      <c r="E58" s="163">
        <v>6</v>
      </c>
      <c r="F58" s="162">
        <v>9</v>
      </c>
      <c r="G58" s="163" t="s">
        <v>8</v>
      </c>
      <c r="H58" s="164">
        <v>10995.24</v>
      </c>
      <c r="I58" s="164">
        <v>98957.16</v>
      </c>
      <c r="J58" s="166">
        <f t="shared" si="55"/>
        <v>98957.16</v>
      </c>
    </row>
    <row r="59" spans="3:10" ht="16.2" customHeight="1" thickBot="1">
      <c r="C59" s="163">
        <v>12</v>
      </c>
      <c r="D59" s="163" t="s">
        <v>119</v>
      </c>
      <c r="E59" s="163">
        <v>144</v>
      </c>
      <c r="F59" s="162">
        <v>202</v>
      </c>
      <c r="G59" s="163" t="s">
        <v>8</v>
      </c>
      <c r="H59" s="164">
        <v>10704.79</v>
      </c>
      <c r="I59" s="164">
        <v>2162367.58</v>
      </c>
      <c r="J59" s="166">
        <f t="shared" si="55"/>
        <v>2162367.58</v>
      </c>
    </row>
    <row r="60" spans="3:10" ht="16.2" customHeight="1" thickBot="1">
      <c r="C60" s="163"/>
      <c r="D60" s="162" t="s">
        <v>120</v>
      </c>
      <c r="E60" s="163"/>
      <c r="F60" s="163"/>
      <c r="G60" s="163"/>
      <c r="H60" s="163"/>
      <c r="I60" s="165">
        <v>5351477.2300000004</v>
      </c>
      <c r="J60" s="166">
        <f>SUM(J48:J59)</f>
        <v>5351467.2300000004</v>
      </c>
    </row>
    <row r="61" spans="3:10" ht="16.2" customHeight="1" thickBot="1">
      <c r="C61" s="163"/>
      <c r="D61" s="162" t="s">
        <v>121</v>
      </c>
      <c r="E61" s="163"/>
      <c r="F61" s="163"/>
      <c r="G61" s="163"/>
      <c r="H61" s="163"/>
      <c r="I61" s="165">
        <v>1123810.22</v>
      </c>
    </row>
    <row r="62" spans="3:10" ht="16.2" customHeight="1" thickBot="1">
      <c r="C62" s="163"/>
      <c r="D62" s="162" t="s">
        <v>122</v>
      </c>
      <c r="E62" s="163"/>
      <c r="F62" s="163"/>
      <c r="G62" s="163"/>
      <c r="H62" s="163"/>
      <c r="I62" s="165">
        <v>6475287.4500000002</v>
      </c>
    </row>
  </sheetData>
  <mergeCells count="15">
    <mergeCell ref="G20:U20"/>
    <mergeCell ref="V20:AJ20"/>
    <mergeCell ref="AD19:AJ19"/>
    <mergeCell ref="G2:O2"/>
    <mergeCell ref="P2:U2"/>
    <mergeCell ref="G1:U1"/>
    <mergeCell ref="V1:AJ1"/>
    <mergeCell ref="V2:AC2"/>
    <mergeCell ref="AD9:AJ9"/>
    <mergeCell ref="G9:O9"/>
    <mergeCell ref="P9:U9"/>
    <mergeCell ref="V8:AJ8"/>
    <mergeCell ref="G8:U8"/>
    <mergeCell ref="V9:AC9"/>
    <mergeCell ref="AD2:AJ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2"/>
  <sheetViews>
    <sheetView topLeftCell="C1" workbookViewId="0">
      <selection activeCell="F20" sqref="F20"/>
    </sheetView>
  </sheetViews>
  <sheetFormatPr baseColWidth="10" defaultColWidth="10.88671875" defaultRowHeight="13.8"/>
  <cols>
    <col min="1" max="1" width="8.6640625" style="197" hidden="1" customWidth="1"/>
    <col min="2" max="2" width="8.44140625" style="201" hidden="1" customWidth="1"/>
    <col min="3" max="3" width="8.44140625" style="201" customWidth="1"/>
    <col min="4" max="4" width="32.21875" style="199" bestFit="1" customWidth="1"/>
    <col min="5" max="5" width="20.109375" style="200" customWidth="1"/>
    <col min="6" max="6" width="20.21875" style="200" customWidth="1"/>
    <col min="7" max="7" width="21.5546875" style="200" customWidth="1"/>
    <col min="8" max="8" width="18" style="200" bestFit="1" customWidth="1"/>
    <col min="9" max="9" width="18.88671875" style="200" bestFit="1" customWidth="1"/>
    <col min="10" max="10" width="16.77734375" style="200" bestFit="1" customWidth="1"/>
    <col min="11" max="11" width="20.88671875" style="200" customWidth="1"/>
    <col min="12" max="12" width="10.21875" style="200" bestFit="1" customWidth="1"/>
    <col min="13" max="13" width="19.5546875" style="200" customWidth="1"/>
    <col min="14" max="14" width="9.109375" style="200" bestFit="1" customWidth="1"/>
    <col min="15" max="15" width="18" style="200" customWidth="1"/>
    <col min="16" max="16" width="16" style="200" bestFit="1" customWidth="1"/>
    <col min="17" max="17" width="15.44140625" style="200" bestFit="1" customWidth="1"/>
    <col min="18" max="18" width="16.88671875" style="200" bestFit="1" customWidth="1"/>
    <col min="19" max="19" width="10.21875" style="200" bestFit="1" customWidth="1"/>
    <col min="20" max="20" width="16.88671875" style="200" bestFit="1" customWidth="1"/>
    <col min="21" max="21" width="11.21875" style="200" customWidth="1"/>
    <col min="22" max="22" width="10.88671875" style="200" customWidth="1"/>
    <col min="23" max="16384" width="10.88671875" style="200"/>
  </cols>
  <sheetData>
    <row r="1" spans="1:21" ht="21" customHeight="1">
      <c r="B1" s="198" t="s">
        <v>149</v>
      </c>
      <c r="C1" s="198"/>
    </row>
    <row r="2" spans="1:21" ht="14.4" customHeight="1" thickBot="1"/>
    <row r="3" spans="1:21" ht="15" customHeight="1" thickTop="1" thickBot="1">
      <c r="A3" s="247"/>
      <c r="B3" s="254"/>
      <c r="C3" s="254"/>
      <c r="D3" s="254"/>
      <c r="E3" s="254"/>
      <c r="F3" s="254"/>
      <c r="G3" s="248"/>
      <c r="H3" s="256" t="s">
        <v>150</v>
      </c>
      <c r="I3" s="252"/>
      <c r="J3" s="252"/>
      <c r="K3" s="252"/>
      <c r="L3" s="253"/>
      <c r="M3" s="257" t="s">
        <v>151</v>
      </c>
      <c r="N3" s="252"/>
      <c r="O3" s="252"/>
      <c r="P3" s="252"/>
      <c r="Q3" s="252"/>
      <c r="R3" s="252"/>
      <c r="S3" s="253"/>
      <c r="T3" s="247"/>
      <c r="U3" s="248"/>
    </row>
    <row r="4" spans="1:21" ht="15" customHeight="1" thickTop="1" thickBot="1">
      <c r="A4" s="249"/>
      <c r="B4" s="255"/>
      <c r="C4" s="255"/>
      <c r="D4" s="255"/>
      <c r="E4" s="255"/>
      <c r="F4" s="255"/>
      <c r="G4" s="250"/>
      <c r="H4" s="202" t="s">
        <v>152</v>
      </c>
      <c r="I4" s="251" t="s">
        <v>153</v>
      </c>
      <c r="J4" s="253"/>
      <c r="K4" s="256" t="s">
        <v>154</v>
      </c>
      <c r="L4" s="253"/>
      <c r="M4" s="202" t="s">
        <v>155</v>
      </c>
      <c r="N4" s="202"/>
      <c r="O4" s="251" t="s">
        <v>156</v>
      </c>
      <c r="P4" s="252"/>
      <c r="Q4" s="253"/>
      <c r="R4" s="257" t="s">
        <v>157</v>
      </c>
      <c r="S4" s="253"/>
      <c r="T4" s="249"/>
      <c r="U4" s="250"/>
    </row>
    <row r="5" spans="1:21" ht="28.8" customHeight="1" thickTop="1" thickBot="1">
      <c r="A5" s="203" t="s">
        <v>158</v>
      </c>
      <c r="B5" s="203" t="s">
        <v>105</v>
      </c>
      <c r="C5" s="203"/>
      <c r="D5" s="204" t="s">
        <v>102</v>
      </c>
      <c r="E5" s="205" t="s">
        <v>159</v>
      </c>
      <c r="F5" s="218" t="s">
        <v>160</v>
      </c>
      <c r="G5" s="205" t="s">
        <v>161</v>
      </c>
      <c r="H5" s="206" t="s">
        <v>162</v>
      </c>
      <c r="I5" s="207" t="s">
        <v>163</v>
      </c>
      <c r="J5" s="207" t="s">
        <v>164</v>
      </c>
      <c r="K5" s="206" t="s">
        <v>165</v>
      </c>
      <c r="L5" s="207" t="s">
        <v>166</v>
      </c>
      <c r="M5" s="207" t="s">
        <v>167</v>
      </c>
      <c r="N5" s="207" t="s">
        <v>168</v>
      </c>
      <c r="O5" s="207" t="s">
        <v>168</v>
      </c>
      <c r="P5" s="207" t="s">
        <v>169</v>
      </c>
      <c r="Q5" s="207" t="s">
        <v>170</v>
      </c>
      <c r="R5" s="206" t="s">
        <v>165</v>
      </c>
      <c r="S5" s="207" t="s">
        <v>166</v>
      </c>
      <c r="T5" s="208" t="s">
        <v>171</v>
      </c>
      <c r="U5" s="207" t="s">
        <v>172</v>
      </c>
    </row>
    <row r="6" spans="1:21" ht="16.8" customHeight="1" thickTop="1" thickBot="1">
      <c r="A6" s="206"/>
      <c r="B6" s="206"/>
      <c r="C6" s="220">
        <v>1.1000000000000001</v>
      </c>
      <c r="D6" s="221" t="s">
        <v>123</v>
      </c>
      <c r="E6" s="214" t="e">
        <f t="shared" ref="E6:E21" si="0">F6-O6</f>
        <v>#REF!</v>
      </c>
      <c r="F6" s="222" t="e">
        <f>#REF!</f>
        <v>#REF!</v>
      </c>
      <c r="G6" s="213" t="e">
        <f t="shared" ref="G6:G21" si="1">E6-P6</f>
        <v>#REF!</v>
      </c>
      <c r="H6" s="214" t="e">
        <f t="shared" ref="H6:H21" si="2">G6*60%</f>
        <v>#REF!</v>
      </c>
      <c r="I6" s="214" t="e">
        <f t="shared" ref="I6:I21" si="3">G6*3%</f>
        <v>#REF!</v>
      </c>
      <c r="J6" s="214" t="e">
        <f t="shared" ref="J6:J21" si="4">G6*5%</f>
        <v>#REF!</v>
      </c>
      <c r="K6" s="215" t="e">
        <f t="shared" ref="K6:K21" si="5">SUM(H6:J6)</f>
        <v>#REF!</v>
      </c>
      <c r="L6" s="209" t="e">
        <f t="shared" ref="L6:L21" si="6">K6/F6</f>
        <v>#REF!</v>
      </c>
      <c r="M6" s="214" t="e">
        <f t="shared" ref="M6:M21" si="7">(G6-K6-Q6)*35%</f>
        <v>#REF!</v>
      </c>
      <c r="N6" s="223">
        <f>'Prof&amp;LosT'!J22</f>
        <v>0.21</v>
      </c>
      <c r="O6" s="214" t="e">
        <f t="shared" ref="O6:O21" si="8">F6*N6</f>
        <v>#REF!</v>
      </c>
      <c r="P6" s="212" t="e">
        <f t="shared" ref="P6:P21" si="9">E6*5%</f>
        <v>#REF!</v>
      </c>
      <c r="Q6" s="214" t="e">
        <f t="shared" ref="Q6:Q21" si="10">F6*1.2%</f>
        <v>#REF!</v>
      </c>
      <c r="R6" s="216" t="e">
        <f t="shared" ref="R6:R21" si="11">SUM(M6:Q6)</f>
        <v>#REF!</v>
      </c>
      <c r="S6" s="210" t="e">
        <f t="shared" ref="S6:S21" si="12">R6/F6</f>
        <v>#REF!</v>
      </c>
      <c r="T6" s="217" t="e">
        <f t="shared" ref="T6:T21" si="13">F6-K6-R6</f>
        <v>#REF!</v>
      </c>
      <c r="U6" s="211" t="e">
        <f t="shared" ref="U6:U21" si="14">T6/F6</f>
        <v>#REF!</v>
      </c>
    </row>
    <row r="7" spans="1:21" ht="16.8" customHeight="1" thickTop="1" thickBot="1">
      <c r="A7" s="206"/>
      <c r="B7" s="206"/>
      <c r="C7" s="220">
        <v>1.2</v>
      </c>
      <c r="D7" s="221" t="s">
        <v>124</v>
      </c>
      <c r="E7" s="214" t="e">
        <f t="shared" si="0"/>
        <v>#REF!</v>
      </c>
      <c r="F7" s="222" t="e">
        <f>#REF!</f>
        <v>#REF!</v>
      </c>
      <c r="G7" s="213" t="e">
        <f t="shared" si="1"/>
        <v>#REF!</v>
      </c>
      <c r="H7" s="214" t="e">
        <f t="shared" si="2"/>
        <v>#REF!</v>
      </c>
      <c r="I7" s="214" t="e">
        <f t="shared" si="3"/>
        <v>#REF!</v>
      </c>
      <c r="J7" s="214" t="e">
        <f t="shared" si="4"/>
        <v>#REF!</v>
      </c>
      <c r="K7" s="215" t="e">
        <f t="shared" si="5"/>
        <v>#REF!</v>
      </c>
      <c r="L7" s="209" t="e">
        <f t="shared" si="6"/>
        <v>#REF!</v>
      </c>
      <c r="M7" s="214" t="e">
        <f t="shared" si="7"/>
        <v>#REF!</v>
      </c>
      <c r="N7" s="223">
        <f>'Prof&amp;LosT'!J23</f>
        <v>0.21</v>
      </c>
      <c r="O7" s="214" t="e">
        <f t="shared" si="8"/>
        <v>#REF!</v>
      </c>
      <c r="P7" s="212" t="e">
        <f t="shared" si="9"/>
        <v>#REF!</v>
      </c>
      <c r="Q7" s="214" t="e">
        <f t="shared" si="10"/>
        <v>#REF!</v>
      </c>
      <c r="R7" s="216" t="e">
        <f t="shared" si="11"/>
        <v>#REF!</v>
      </c>
      <c r="S7" s="210" t="e">
        <f t="shared" si="12"/>
        <v>#REF!</v>
      </c>
      <c r="T7" s="217" t="e">
        <f t="shared" si="13"/>
        <v>#REF!</v>
      </c>
      <c r="U7" s="211" t="e">
        <f t="shared" si="14"/>
        <v>#REF!</v>
      </c>
    </row>
    <row r="8" spans="1:21" ht="16.8" customHeight="1" thickTop="1" thickBot="1">
      <c r="A8" s="206"/>
      <c r="B8" s="224"/>
      <c r="C8" s="220" t="s">
        <v>125</v>
      </c>
      <c r="D8" s="221" t="s">
        <v>71</v>
      </c>
      <c r="E8" s="214" t="e">
        <f t="shared" si="0"/>
        <v>#REF!</v>
      </c>
      <c r="F8" s="222" t="e">
        <f>#REF!</f>
        <v>#REF!</v>
      </c>
      <c r="G8" s="213" t="e">
        <f t="shared" si="1"/>
        <v>#REF!</v>
      </c>
      <c r="H8" s="214" t="e">
        <f t="shared" si="2"/>
        <v>#REF!</v>
      </c>
      <c r="I8" s="214" t="e">
        <f t="shared" si="3"/>
        <v>#REF!</v>
      </c>
      <c r="J8" s="214" t="e">
        <f t="shared" si="4"/>
        <v>#REF!</v>
      </c>
      <c r="K8" s="215" t="e">
        <f t="shared" si="5"/>
        <v>#REF!</v>
      </c>
      <c r="L8" s="209" t="e">
        <f t="shared" si="6"/>
        <v>#REF!</v>
      </c>
      <c r="M8" s="214" t="e">
        <f t="shared" si="7"/>
        <v>#REF!</v>
      </c>
      <c r="N8" s="223">
        <f>'Prof&amp;LosT'!J24</f>
        <v>0.21</v>
      </c>
      <c r="O8" s="214" t="e">
        <f t="shared" si="8"/>
        <v>#REF!</v>
      </c>
      <c r="P8" s="212" t="e">
        <f t="shared" si="9"/>
        <v>#REF!</v>
      </c>
      <c r="Q8" s="214" t="e">
        <f t="shared" si="10"/>
        <v>#REF!</v>
      </c>
      <c r="R8" s="216" t="e">
        <f t="shared" si="11"/>
        <v>#REF!</v>
      </c>
      <c r="S8" s="210" t="e">
        <f t="shared" si="12"/>
        <v>#REF!</v>
      </c>
      <c r="T8" s="217" t="e">
        <f t="shared" si="13"/>
        <v>#REF!</v>
      </c>
      <c r="U8" s="211" t="e">
        <f t="shared" si="14"/>
        <v>#REF!</v>
      </c>
    </row>
    <row r="9" spans="1:21" ht="16.8" customHeight="1" thickTop="1" thickBot="1">
      <c r="A9" s="206"/>
      <c r="B9" s="224"/>
      <c r="C9" s="220" t="s">
        <v>126</v>
      </c>
      <c r="D9" s="225" t="s">
        <v>127</v>
      </c>
      <c r="E9" s="214" t="e">
        <f t="shared" si="0"/>
        <v>#REF!</v>
      </c>
      <c r="F9" s="222" t="e">
        <f>#REF!</f>
        <v>#REF!</v>
      </c>
      <c r="G9" s="213" t="e">
        <f t="shared" si="1"/>
        <v>#REF!</v>
      </c>
      <c r="H9" s="214" t="e">
        <f t="shared" si="2"/>
        <v>#REF!</v>
      </c>
      <c r="I9" s="214" t="e">
        <f t="shared" si="3"/>
        <v>#REF!</v>
      </c>
      <c r="J9" s="214" t="e">
        <f t="shared" si="4"/>
        <v>#REF!</v>
      </c>
      <c r="K9" s="215" t="e">
        <f t="shared" si="5"/>
        <v>#REF!</v>
      </c>
      <c r="L9" s="209" t="e">
        <f t="shared" si="6"/>
        <v>#REF!</v>
      </c>
      <c r="M9" s="214" t="e">
        <f t="shared" si="7"/>
        <v>#REF!</v>
      </c>
      <c r="N9" s="223">
        <f>'Prof&amp;LosT'!J25</f>
        <v>0.21</v>
      </c>
      <c r="O9" s="214" t="e">
        <f t="shared" si="8"/>
        <v>#REF!</v>
      </c>
      <c r="P9" s="212" t="e">
        <f t="shared" si="9"/>
        <v>#REF!</v>
      </c>
      <c r="Q9" s="214" t="e">
        <f t="shared" si="10"/>
        <v>#REF!</v>
      </c>
      <c r="R9" s="216" t="e">
        <f t="shared" si="11"/>
        <v>#REF!</v>
      </c>
      <c r="S9" s="210" t="e">
        <f t="shared" si="12"/>
        <v>#REF!</v>
      </c>
      <c r="T9" s="217" t="e">
        <f t="shared" si="13"/>
        <v>#REF!</v>
      </c>
      <c r="U9" s="211" t="e">
        <f t="shared" si="14"/>
        <v>#REF!</v>
      </c>
    </row>
    <row r="10" spans="1:21" ht="16.8" customHeight="1" thickTop="1" thickBot="1">
      <c r="A10" s="206"/>
      <c r="B10" s="224"/>
      <c r="C10" s="220" t="s">
        <v>128</v>
      </c>
      <c r="D10" s="225" t="s">
        <v>75</v>
      </c>
      <c r="E10" s="214" t="e">
        <f t="shared" si="0"/>
        <v>#REF!</v>
      </c>
      <c r="F10" s="222" t="e">
        <f>#REF!</f>
        <v>#REF!</v>
      </c>
      <c r="G10" s="213" t="e">
        <f t="shared" si="1"/>
        <v>#REF!</v>
      </c>
      <c r="H10" s="214" t="e">
        <f t="shared" si="2"/>
        <v>#REF!</v>
      </c>
      <c r="I10" s="214" t="e">
        <f t="shared" si="3"/>
        <v>#REF!</v>
      </c>
      <c r="J10" s="214" t="e">
        <f t="shared" si="4"/>
        <v>#REF!</v>
      </c>
      <c r="K10" s="215" t="e">
        <f t="shared" si="5"/>
        <v>#REF!</v>
      </c>
      <c r="L10" s="209" t="e">
        <f t="shared" si="6"/>
        <v>#REF!</v>
      </c>
      <c r="M10" s="214" t="e">
        <f t="shared" si="7"/>
        <v>#REF!</v>
      </c>
      <c r="N10" s="223">
        <f>'Prof&amp;LosT'!J26</f>
        <v>0.21</v>
      </c>
      <c r="O10" s="214" t="e">
        <f t="shared" si="8"/>
        <v>#REF!</v>
      </c>
      <c r="P10" s="212" t="e">
        <f t="shared" si="9"/>
        <v>#REF!</v>
      </c>
      <c r="Q10" s="214" t="e">
        <f t="shared" si="10"/>
        <v>#REF!</v>
      </c>
      <c r="R10" s="216" t="e">
        <f t="shared" si="11"/>
        <v>#REF!</v>
      </c>
      <c r="S10" s="210" t="e">
        <f t="shared" si="12"/>
        <v>#REF!</v>
      </c>
      <c r="T10" s="217" t="e">
        <f t="shared" si="13"/>
        <v>#REF!</v>
      </c>
      <c r="U10" s="211" t="e">
        <f t="shared" si="14"/>
        <v>#REF!</v>
      </c>
    </row>
    <row r="11" spans="1:21" s="219" customFormat="1" ht="16.8" customHeight="1" thickTop="1" thickBot="1">
      <c r="A11" s="226"/>
      <c r="B11" s="227"/>
      <c r="C11" s="228" t="s">
        <v>129</v>
      </c>
      <c r="D11" s="229" t="s">
        <v>130</v>
      </c>
      <c r="E11" s="214" t="e">
        <f t="shared" si="0"/>
        <v>#REF!</v>
      </c>
      <c r="F11" s="230" t="e">
        <f>#REF!</f>
        <v>#REF!</v>
      </c>
      <c r="G11" s="213" t="e">
        <f t="shared" si="1"/>
        <v>#REF!</v>
      </c>
      <c r="H11" s="214" t="e">
        <f t="shared" si="2"/>
        <v>#REF!</v>
      </c>
      <c r="I11" s="214" t="e">
        <f t="shared" si="3"/>
        <v>#REF!</v>
      </c>
      <c r="J11" s="214" t="e">
        <f t="shared" si="4"/>
        <v>#REF!</v>
      </c>
      <c r="K11" s="215" t="e">
        <f t="shared" si="5"/>
        <v>#REF!</v>
      </c>
      <c r="L11" s="209" t="e">
        <f t="shared" si="6"/>
        <v>#REF!</v>
      </c>
      <c r="M11" s="214" t="e">
        <f t="shared" si="7"/>
        <v>#REF!</v>
      </c>
      <c r="N11" s="231">
        <f>'Prof&amp;LosT'!J27</f>
        <v>0.21</v>
      </c>
      <c r="O11" s="214" t="e">
        <f t="shared" si="8"/>
        <v>#REF!</v>
      </c>
      <c r="P11" s="212" t="e">
        <f t="shared" si="9"/>
        <v>#REF!</v>
      </c>
      <c r="Q11" s="214" t="e">
        <f t="shared" si="10"/>
        <v>#REF!</v>
      </c>
      <c r="R11" s="216" t="e">
        <f t="shared" si="11"/>
        <v>#REF!</v>
      </c>
      <c r="S11" s="210" t="e">
        <f t="shared" si="12"/>
        <v>#REF!</v>
      </c>
      <c r="T11" s="217" t="e">
        <f t="shared" si="13"/>
        <v>#REF!</v>
      </c>
      <c r="U11" s="211" t="e">
        <f t="shared" si="14"/>
        <v>#REF!</v>
      </c>
    </row>
    <row r="12" spans="1:21" ht="16.8" customHeight="1" thickTop="1" thickBot="1">
      <c r="A12" s="206"/>
      <c r="B12" s="224"/>
      <c r="C12" s="220" t="s">
        <v>137</v>
      </c>
      <c r="D12" s="221" t="s">
        <v>138</v>
      </c>
      <c r="E12" s="214" t="e">
        <f t="shared" si="0"/>
        <v>#REF!</v>
      </c>
      <c r="F12" s="222" t="e">
        <f>#REF!</f>
        <v>#REF!</v>
      </c>
      <c r="G12" s="213" t="e">
        <f t="shared" si="1"/>
        <v>#REF!</v>
      </c>
      <c r="H12" s="214" t="e">
        <f t="shared" si="2"/>
        <v>#REF!</v>
      </c>
      <c r="I12" s="214" t="e">
        <f t="shared" si="3"/>
        <v>#REF!</v>
      </c>
      <c r="J12" s="214" t="e">
        <f t="shared" si="4"/>
        <v>#REF!</v>
      </c>
      <c r="K12" s="215" t="e">
        <f t="shared" si="5"/>
        <v>#REF!</v>
      </c>
      <c r="L12" s="209" t="e">
        <f t="shared" si="6"/>
        <v>#REF!</v>
      </c>
      <c r="M12" s="214" t="e">
        <f t="shared" si="7"/>
        <v>#REF!</v>
      </c>
      <c r="N12" s="223">
        <f>'Prof&amp;LosT'!J11</f>
        <v>0.105</v>
      </c>
      <c r="O12" s="214" t="e">
        <f t="shared" si="8"/>
        <v>#REF!</v>
      </c>
      <c r="P12" s="212" t="e">
        <f t="shared" si="9"/>
        <v>#REF!</v>
      </c>
      <c r="Q12" s="214" t="e">
        <f t="shared" si="10"/>
        <v>#REF!</v>
      </c>
      <c r="R12" s="216" t="e">
        <f t="shared" si="11"/>
        <v>#REF!</v>
      </c>
      <c r="S12" s="210" t="e">
        <f t="shared" si="12"/>
        <v>#REF!</v>
      </c>
      <c r="T12" s="217" t="e">
        <f t="shared" si="13"/>
        <v>#REF!</v>
      </c>
      <c r="U12" s="211" t="e">
        <f t="shared" si="14"/>
        <v>#REF!</v>
      </c>
    </row>
    <row r="13" spans="1:21" ht="16.8" customHeight="1" thickTop="1" thickBot="1">
      <c r="A13" s="206"/>
      <c r="B13" s="224"/>
      <c r="C13" s="220" t="s">
        <v>139</v>
      </c>
      <c r="D13" s="221" t="s">
        <v>140</v>
      </c>
      <c r="E13" s="214" t="e">
        <f t="shared" si="0"/>
        <v>#REF!</v>
      </c>
      <c r="F13" s="222" t="e">
        <f>#REF!</f>
        <v>#REF!</v>
      </c>
      <c r="G13" s="213" t="e">
        <f t="shared" si="1"/>
        <v>#REF!</v>
      </c>
      <c r="H13" s="214" t="e">
        <f t="shared" si="2"/>
        <v>#REF!</v>
      </c>
      <c r="I13" s="214" t="e">
        <f t="shared" si="3"/>
        <v>#REF!</v>
      </c>
      <c r="J13" s="214" t="e">
        <f t="shared" si="4"/>
        <v>#REF!</v>
      </c>
      <c r="K13" s="215" t="e">
        <f t="shared" si="5"/>
        <v>#REF!</v>
      </c>
      <c r="L13" s="209" t="e">
        <f t="shared" si="6"/>
        <v>#REF!</v>
      </c>
      <c r="M13" s="214" t="e">
        <f t="shared" si="7"/>
        <v>#REF!</v>
      </c>
      <c r="N13" s="223">
        <f>'Prof&amp;LosT'!J12</f>
        <v>0.105</v>
      </c>
      <c r="O13" s="214" t="e">
        <f t="shared" si="8"/>
        <v>#REF!</v>
      </c>
      <c r="P13" s="212" t="e">
        <f t="shared" si="9"/>
        <v>#REF!</v>
      </c>
      <c r="Q13" s="214" t="e">
        <f t="shared" si="10"/>
        <v>#REF!</v>
      </c>
      <c r="R13" s="216" t="e">
        <f t="shared" si="11"/>
        <v>#REF!</v>
      </c>
      <c r="S13" s="210" t="e">
        <f t="shared" si="12"/>
        <v>#REF!</v>
      </c>
      <c r="T13" s="217" t="e">
        <f t="shared" si="13"/>
        <v>#REF!</v>
      </c>
      <c r="U13" s="211" t="e">
        <f t="shared" si="14"/>
        <v>#REF!</v>
      </c>
    </row>
    <row r="14" spans="1:21" ht="16.8" customHeight="1" thickTop="1" thickBot="1">
      <c r="A14" s="206"/>
      <c r="B14" s="224"/>
      <c r="C14" s="220" t="s">
        <v>141</v>
      </c>
      <c r="D14" s="221" t="s">
        <v>142</v>
      </c>
      <c r="E14" s="214" t="e">
        <f t="shared" si="0"/>
        <v>#REF!</v>
      </c>
      <c r="F14" s="222" t="e">
        <f>#REF!</f>
        <v>#REF!</v>
      </c>
      <c r="G14" s="213" t="e">
        <f t="shared" si="1"/>
        <v>#REF!</v>
      </c>
      <c r="H14" s="214" t="e">
        <f t="shared" si="2"/>
        <v>#REF!</v>
      </c>
      <c r="I14" s="214" t="e">
        <f t="shared" si="3"/>
        <v>#REF!</v>
      </c>
      <c r="J14" s="214" t="e">
        <f t="shared" si="4"/>
        <v>#REF!</v>
      </c>
      <c r="K14" s="215" t="e">
        <f t="shared" si="5"/>
        <v>#REF!</v>
      </c>
      <c r="L14" s="209" t="e">
        <f t="shared" si="6"/>
        <v>#REF!</v>
      </c>
      <c r="M14" s="214" t="e">
        <f t="shared" si="7"/>
        <v>#REF!</v>
      </c>
      <c r="N14" s="223">
        <f>'Prof&amp;LosT'!J13</f>
        <v>0.21</v>
      </c>
      <c r="O14" s="214" t="e">
        <f t="shared" si="8"/>
        <v>#REF!</v>
      </c>
      <c r="P14" s="212" t="e">
        <f t="shared" si="9"/>
        <v>#REF!</v>
      </c>
      <c r="Q14" s="214" t="e">
        <f t="shared" si="10"/>
        <v>#REF!</v>
      </c>
      <c r="R14" s="216" t="e">
        <f t="shared" si="11"/>
        <v>#REF!</v>
      </c>
      <c r="S14" s="210" t="e">
        <f t="shared" si="12"/>
        <v>#REF!</v>
      </c>
      <c r="T14" s="217" t="e">
        <f t="shared" si="13"/>
        <v>#REF!</v>
      </c>
      <c r="U14" s="211" t="e">
        <f t="shared" si="14"/>
        <v>#REF!</v>
      </c>
    </row>
    <row r="15" spans="1:21" ht="16.8" customHeight="1" thickTop="1" thickBot="1">
      <c r="A15" s="206"/>
      <c r="B15" s="224"/>
      <c r="C15" s="220" t="s">
        <v>143</v>
      </c>
      <c r="D15" s="232" t="s">
        <v>146</v>
      </c>
      <c r="E15" s="214" t="e">
        <f t="shared" si="0"/>
        <v>#REF!</v>
      </c>
      <c r="F15" s="222" t="e">
        <f>#REF!</f>
        <v>#REF!</v>
      </c>
      <c r="G15" s="213" t="e">
        <f t="shared" si="1"/>
        <v>#REF!</v>
      </c>
      <c r="H15" s="214" t="e">
        <f t="shared" si="2"/>
        <v>#REF!</v>
      </c>
      <c r="I15" s="214" t="e">
        <f t="shared" si="3"/>
        <v>#REF!</v>
      </c>
      <c r="J15" s="214" t="e">
        <f t="shared" si="4"/>
        <v>#REF!</v>
      </c>
      <c r="K15" s="215" t="e">
        <f t="shared" si="5"/>
        <v>#REF!</v>
      </c>
      <c r="L15" s="209" t="e">
        <f t="shared" si="6"/>
        <v>#REF!</v>
      </c>
      <c r="M15" s="214" t="e">
        <f t="shared" si="7"/>
        <v>#REF!</v>
      </c>
      <c r="N15" s="223">
        <f>'Prof&amp;LosT'!J14</f>
        <v>0.105</v>
      </c>
      <c r="O15" s="214" t="e">
        <f t="shared" si="8"/>
        <v>#REF!</v>
      </c>
      <c r="P15" s="212" t="e">
        <f t="shared" si="9"/>
        <v>#REF!</v>
      </c>
      <c r="Q15" s="214" t="e">
        <f t="shared" si="10"/>
        <v>#REF!</v>
      </c>
      <c r="R15" s="216" t="e">
        <f t="shared" si="11"/>
        <v>#REF!</v>
      </c>
      <c r="S15" s="210" t="e">
        <f t="shared" si="12"/>
        <v>#REF!</v>
      </c>
      <c r="T15" s="217" t="e">
        <f t="shared" si="13"/>
        <v>#REF!</v>
      </c>
      <c r="U15" s="211" t="e">
        <f t="shared" si="14"/>
        <v>#REF!</v>
      </c>
    </row>
    <row r="16" spans="1:21" s="219" customFormat="1" ht="16.8" customHeight="1" thickTop="1" thickBot="1">
      <c r="A16" s="226"/>
      <c r="B16" s="227"/>
      <c r="C16" s="228" t="s">
        <v>144</v>
      </c>
      <c r="D16" s="229" t="s">
        <v>145</v>
      </c>
      <c r="E16" s="214" t="e">
        <f t="shared" si="0"/>
        <v>#REF!</v>
      </c>
      <c r="F16" s="230" t="e">
        <f>#REF!</f>
        <v>#REF!</v>
      </c>
      <c r="G16" s="213" t="e">
        <f t="shared" si="1"/>
        <v>#REF!</v>
      </c>
      <c r="H16" s="214" t="e">
        <f t="shared" si="2"/>
        <v>#REF!</v>
      </c>
      <c r="I16" s="214" t="e">
        <f t="shared" si="3"/>
        <v>#REF!</v>
      </c>
      <c r="J16" s="214" t="e">
        <f t="shared" si="4"/>
        <v>#REF!</v>
      </c>
      <c r="K16" s="215" t="e">
        <f t="shared" si="5"/>
        <v>#REF!</v>
      </c>
      <c r="L16" s="209" t="e">
        <f t="shared" si="6"/>
        <v>#REF!</v>
      </c>
      <c r="M16" s="214" t="e">
        <f t="shared" si="7"/>
        <v>#REF!</v>
      </c>
      <c r="N16" s="231">
        <f>'Prof&amp;LosT'!J15</f>
        <v>0.105</v>
      </c>
      <c r="O16" s="214" t="e">
        <f t="shared" si="8"/>
        <v>#REF!</v>
      </c>
      <c r="P16" s="212" t="e">
        <f t="shared" si="9"/>
        <v>#REF!</v>
      </c>
      <c r="Q16" s="214" t="e">
        <f t="shared" si="10"/>
        <v>#REF!</v>
      </c>
      <c r="R16" s="216" t="e">
        <f t="shared" si="11"/>
        <v>#REF!</v>
      </c>
      <c r="S16" s="210" t="e">
        <f t="shared" si="12"/>
        <v>#REF!</v>
      </c>
      <c r="T16" s="217" t="e">
        <f t="shared" si="13"/>
        <v>#REF!</v>
      </c>
      <c r="U16" s="211" t="e">
        <f t="shared" si="14"/>
        <v>#REF!</v>
      </c>
    </row>
    <row r="17" spans="1:21" ht="16.8" customHeight="1" thickTop="1" thickBot="1">
      <c r="A17" s="206"/>
      <c r="B17" s="224"/>
      <c r="C17" s="220" t="s">
        <v>131</v>
      </c>
      <c r="D17" s="221" t="s">
        <v>132</v>
      </c>
      <c r="E17" s="214" t="e">
        <f t="shared" si="0"/>
        <v>#REF!</v>
      </c>
      <c r="F17" s="222" t="e">
        <f>#REF!</f>
        <v>#REF!</v>
      </c>
      <c r="G17" s="213" t="e">
        <f t="shared" si="1"/>
        <v>#REF!</v>
      </c>
      <c r="H17" s="214" t="e">
        <f t="shared" si="2"/>
        <v>#REF!</v>
      </c>
      <c r="I17" s="214" t="e">
        <f t="shared" si="3"/>
        <v>#REF!</v>
      </c>
      <c r="J17" s="214" t="e">
        <f t="shared" si="4"/>
        <v>#REF!</v>
      </c>
      <c r="K17" s="215" t="e">
        <f t="shared" si="5"/>
        <v>#REF!</v>
      </c>
      <c r="L17" s="209" t="e">
        <f t="shared" si="6"/>
        <v>#REF!</v>
      </c>
      <c r="M17" s="214" t="e">
        <f t="shared" si="7"/>
        <v>#REF!</v>
      </c>
      <c r="N17" s="223">
        <f>'Prof&amp;LosT'!J28</f>
        <v>0.21</v>
      </c>
      <c r="O17" s="214" t="e">
        <f t="shared" si="8"/>
        <v>#REF!</v>
      </c>
      <c r="P17" s="212" t="e">
        <f t="shared" si="9"/>
        <v>#REF!</v>
      </c>
      <c r="Q17" s="214" t="e">
        <f t="shared" si="10"/>
        <v>#REF!</v>
      </c>
      <c r="R17" s="216" t="e">
        <f t="shared" si="11"/>
        <v>#REF!</v>
      </c>
      <c r="S17" s="210" t="e">
        <f t="shared" si="12"/>
        <v>#REF!</v>
      </c>
      <c r="T17" s="217" t="e">
        <f t="shared" si="13"/>
        <v>#REF!</v>
      </c>
      <c r="U17" s="211" t="e">
        <f t="shared" si="14"/>
        <v>#REF!</v>
      </c>
    </row>
    <row r="18" spans="1:21" ht="16.8" customHeight="1" thickTop="1" thickBot="1">
      <c r="A18" s="206"/>
      <c r="B18" s="224"/>
      <c r="C18" s="220" t="s">
        <v>133</v>
      </c>
      <c r="D18" s="221" t="s">
        <v>134</v>
      </c>
      <c r="E18" s="214" t="e">
        <f t="shared" si="0"/>
        <v>#REF!</v>
      </c>
      <c r="F18" s="222" t="e">
        <f>#REF!</f>
        <v>#REF!</v>
      </c>
      <c r="G18" s="213" t="e">
        <f t="shared" si="1"/>
        <v>#REF!</v>
      </c>
      <c r="H18" s="214" t="e">
        <f t="shared" si="2"/>
        <v>#REF!</v>
      </c>
      <c r="I18" s="214" t="e">
        <f t="shared" si="3"/>
        <v>#REF!</v>
      </c>
      <c r="J18" s="214" t="e">
        <f t="shared" si="4"/>
        <v>#REF!</v>
      </c>
      <c r="K18" s="215" t="e">
        <f t="shared" si="5"/>
        <v>#REF!</v>
      </c>
      <c r="L18" s="209" t="e">
        <f t="shared" si="6"/>
        <v>#REF!</v>
      </c>
      <c r="M18" s="214" t="e">
        <f t="shared" si="7"/>
        <v>#REF!</v>
      </c>
      <c r="N18" s="223">
        <f>'Prof&amp;LosT'!J29</f>
        <v>0.21</v>
      </c>
      <c r="O18" s="214" t="e">
        <f t="shared" si="8"/>
        <v>#REF!</v>
      </c>
      <c r="P18" s="212" t="e">
        <f t="shared" si="9"/>
        <v>#REF!</v>
      </c>
      <c r="Q18" s="214" t="e">
        <f t="shared" si="10"/>
        <v>#REF!</v>
      </c>
      <c r="R18" s="216" t="e">
        <f t="shared" si="11"/>
        <v>#REF!</v>
      </c>
      <c r="S18" s="210" t="e">
        <f t="shared" si="12"/>
        <v>#REF!</v>
      </c>
      <c r="T18" s="217" t="e">
        <f t="shared" si="13"/>
        <v>#REF!</v>
      </c>
      <c r="U18" s="211" t="e">
        <f t="shared" si="14"/>
        <v>#REF!</v>
      </c>
    </row>
    <row r="19" spans="1:21" ht="16.8" customHeight="1" thickTop="1" thickBot="1">
      <c r="A19" s="206"/>
      <c r="B19" s="224"/>
      <c r="C19" s="220" t="s">
        <v>135</v>
      </c>
      <c r="D19" s="221" t="s">
        <v>136</v>
      </c>
      <c r="E19" s="214" t="e">
        <f t="shared" si="0"/>
        <v>#REF!</v>
      </c>
      <c r="F19" s="222" t="e">
        <f>#REF!</f>
        <v>#REF!</v>
      </c>
      <c r="G19" s="213" t="e">
        <f t="shared" si="1"/>
        <v>#REF!</v>
      </c>
      <c r="H19" s="214" t="e">
        <f t="shared" si="2"/>
        <v>#REF!</v>
      </c>
      <c r="I19" s="214" t="e">
        <f t="shared" si="3"/>
        <v>#REF!</v>
      </c>
      <c r="J19" s="214" t="e">
        <f t="shared" si="4"/>
        <v>#REF!</v>
      </c>
      <c r="K19" s="215" t="e">
        <f t="shared" si="5"/>
        <v>#REF!</v>
      </c>
      <c r="L19" s="209" t="e">
        <f t="shared" si="6"/>
        <v>#REF!</v>
      </c>
      <c r="M19" s="214" t="e">
        <f t="shared" si="7"/>
        <v>#REF!</v>
      </c>
      <c r="N19" s="223">
        <f>'Prof&amp;LosT'!J30</f>
        <v>0.21</v>
      </c>
      <c r="O19" s="214" t="e">
        <f t="shared" si="8"/>
        <v>#REF!</v>
      </c>
      <c r="P19" s="212" t="e">
        <f t="shared" si="9"/>
        <v>#REF!</v>
      </c>
      <c r="Q19" s="214" t="e">
        <f t="shared" si="10"/>
        <v>#REF!</v>
      </c>
      <c r="R19" s="216" t="e">
        <f t="shared" si="11"/>
        <v>#REF!</v>
      </c>
      <c r="S19" s="210" t="e">
        <f t="shared" si="12"/>
        <v>#REF!</v>
      </c>
      <c r="T19" s="217" t="e">
        <f t="shared" si="13"/>
        <v>#REF!</v>
      </c>
      <c r="U19" s="211" t="e">
        <f t="shared" si="14"/>
        <v>#REF!</v>
      </c>
    </row>
    <row r="20" spans="1:21" ht="16.8" customHeight="1" thickTop="1" thickBot="1">
      <c r="A20" s="206"/>
      <c r="B20" s="224"/>
      <c r="C20" s="220">
        <v>1.1499999999999999</v>
      </c>
      <c r="D20" s="221" t="s">
        <v>147</v>
      </c>
      <c r="E20" s="214" t="e">
        <f t="shared" si="0"/>
        <v>#REF!</v>
      </c>
      <c r="F20" s="222" t="e">
        <f>#REF!</f>
        <v>#REF!</v>
      </c>
      <c r="G20" s="213" t="e">
        <f t="shared" si="1"/>
        <v>#REF!</v>
      </c>
      <c r="H20" s="214" t="e">
        <f t="shared" si="2"/>
        <v>#REF!</v>
      </c>
      <c r="I20" s="214" t="e">
        <f t="shared" si="3"/>
        <v>#REF!</v>
      </c>
      <c r="J20" s="214" t="e">
        <f t="shared" si="4"/>
        <v>#REF!</v>
      </c>
      <c r="K20" s="215" t="e">
        <f t="shared" si="5"/>
        <v>#REF!</v>
      </c>
      <c r="L20" s="209" t="e">
        <f t="shared" si="6"/>
        <v>#REF!</v>
      </c>
      <c r="M20" s="214" t="e">
        <f t="shared" si="7"/>
        <v>#REF!</v>
      </c>
      <c r="N20" s="223">
        <f>'Prof&amp;LosT'!J31</f>
        <v>0.21</v>
      </c>
      <c r="O20" s="214" t="e">
        <f t="shared" si="8"/>
        <v>#REF!</v>
      </c>
      <c r="P20" s="212" t="e">
        <f t="shared" si="9"/>
        <v>#REF!</v>
      </c>
      <c r="Q20" s="214" t="e">
        <f t="shared" si="10"/>
        <v>#REF!</v>
      </c>
      <c r="R20" s="216" t="e">
        <f t="shared" si="11"/>
        <v>#REF!</v>
      </c>
      <c r="S20" s="210" t="e">
        <f t="shared" si="12"/>
        <v>#REF!</v>
      </c>
      <c r="T20" s="217" t="e">
        <f t="shared" si="13"/>
        <v>#REF!</v>
      </c>
      <c r="U20" s="211" t="e">
        <f t="shared" si="14"/>
        <v>#REF!</v>
      </c>
    </row>
    <row r="21" spans="1:21" ht="16.8" customHeight="1" thickTop="1" thickBot="1">
      <c r="A21" s="206"/>
      <c r="B21" s="224"/>
      <c r="C21" s="233">
        <v>1.1599999999999999</v>
      </c>
      <c r="D21" s="221" t="s">
        <v>148</v>
      </c>
      <c r="E21" s="214" t="e">
        <f t="shared" si="0"/>
        <v>#REF!</v>
      </c>
      <c r="F21" s="222" t="e">
        <f>#REF!</f>
        <v>#REF!</v>
      </c>
      <c r="G21" s="213" t="e">
        <f t="shared" si="1"/>
        <v>#REF!</v>
      </c>
      <c r="H21" s="214" t="e">
        <f t="shared" si="2"/>
        <v>#REF!</v>
      </c>
      <c r="I21" s="214" t="e">
        <f t="shared" si="3"/>
        <v>#REF!</v>
      </c>
      <c r="J21" s="214" t="e">
        <f t="shared" si="4"/>
        <v>#REF!</v>
      </c>
      <c r="K21" s="215" t="e">
        <f t="shared" si="5"/>
        <v>#REF!</v>
      </c>
      <c r="L21" s="209" t="e">
        <f t="shared" si="6"/>
        <v>#REF!</v>
      </c>
      <c r="M21" s="214" t="e">
        <f t="shared" si="7"/>
        <v>#REF!</v>
      </c>
      <c r="N21" s="223">
        <v>0.21</v>
      </c>
      <c r="O21" s="214" t="e">
        <f t="shared" si="8"/>
        <v>#REF!</v>
      </c>
      <c r="P21" s="212" t="e">
        <f t="shared" si="9"/>
        <v>#REF!</v>
      </c>
      <c r="Q21" s="214" t="e">
        <f t="shared" si="10"/>
        <v>#REF!</v>
      </c>
      <c r="R21" s="216" t="e">
        <f t="shared" si="11"/>
        <v>#REF!</v>
      </c>
      <c r="S21" s="210" t="e">
        <f t="shared" si="12"/>
        <v>#REF!</v>
      </c>
      <c r="T21" s="217" t="e">
        <f t="shared" si="13"/>
        <v>#REF!</v>
      </c>
      <c r="U21" s="211" t="e">
        <f t="shared" si="14"/>
        <v>#REF!</v>
      </c>
    </row>
    <row r="22" spans="1:21" ht="15" customHeight="1" thickTop="1"/>
  </sheetData>
  <mergeCells count="8">
    <mergeCell ref="T3:U4"/>
    <mergeCell ref="O4:Q4"/>
    <mergeCell ref="A3:G4"/>
    <mergeCell ref="K4:L4"/>
    <mergeCell ref="R4:S4"/>
    <mergeCell ref="H3:L3"/>
    <mergeCell ref="I4:J4"/>
    <mergeCell ref="M3:S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4"/>
  <dimension ref="A1:G24"/>
  <sheetViews>
    <sheetView tabSelected="1" workbookViewId="0">
      <selection activeCell="D14" sqref="D14"/>
    </sheetView>
  </sheetViews>
  <sheetFormatPr baseColWidth="10" defaultRowHeight="14.4"/>
  <cols>
    <col min="1" max="1" width="12.21875" bestFit="1" customWidth="1"/>
    <col min="2" max="2" width="35.77734375" bestFit="1" customWidth="1"/>
    <col min="3" max="3" width="8.21875" bestFit="1" customWidth="1"/>
  </cols>
  <sheetData>
    <row r="1" spans="1:7" ht="18" customHeight="1">
      <c r="B1" s="15" t="s">
        <v>173</v>
      </c>
    </row>
    <row r="2" spans="1:7" s="2" customFormat="1" ht="15.6" customHeight="1">
      <c r="A2" s="4" t="s">
        <v>174</v>
      </c>
      <c r="B2" s="4" t="s">
        <v>10</v>
      </c>
      <c r="C2" s="5" t="s">
        <v>175</v>
      </c>
      <c r="D2" s="6"/>
      <c r="G2" s="3"/>
    </row>
    <row r="3" spans="1:7" s="2" customFormat="1" ht="15.6" customHeight="1">
      <c r="A3" s="8"/>
      <c r="B3" s="7" t="s">
        <v>176</v>
      </c>
      <c r="C3" s="179">
        <v>0.44600000000000001</v>
      </c>
      <c r="D3" s="9"/>
    </row>
    <row r="4" spans="1:7" s="2" customFormat="1" ht="15.6" customHeight="1">
      <c r="A4" s="20">
        <v>45595</v>
      </c>
      <c r="B4" s="25" t="s">
        <v>177</v>
      </c>
      <c r="C4" s="26">
        <v>1425</v>
      </c>
      <c r="D4" s="42"/>
    </row>
    <row r="5" spans="1:7" s="2" customFormat="1" ht="15.6" customHeight="1">
      <c r="A5" s="20"/>
      <c r="B5" s="7"/>
      <c r="C5" s="9"/>
      <c r="D5" s="43"/>
    </row>
    <row r="6" spans="1:7" s="2" customFormat="1" ht="15.6" customHeight="1">
      <c r="A6" s="20"/>
      <c r="B6" s="7"/>
      <c r="C6" s="10"/>
    </row>
    <row r="7" spans="1:7" ht="15.6" customHeight="1">
      <c r="A7" s="20"/>
      <c r="B7" s="7"/>
      <c r="C7" s="10"/>
      <c r="D7" s="9"/>
    </row>
    <row r="8" spans="1:7" s="2" customFormat="1" ht="15.6" customHeight="1">
      <c r="A8" s="23"/>
      <c r="B8" s="24"/>
      <c r="C8" s="27"/>
      <c r="D8" s="9"/>
    </row>
    <row r="9" spans="1:7" s="2" customFormat="1" ht="15.6" customHeight="1">
      <c r="A9" s="20"/>
      <c r="B9" s="7"/>
      <c r="C9" s="10"/>
      <c r="D9" s="9"/>
    </row>
    <row r="10" spans="1:7" s="2" customFormat="1" ht="15.6" customHeight="1">
      <c r="A10" s="13"/>
      <c r="B10" s="11"/>
      <c r="C10" s="14"/>
    </row>
    <row r="11" spans="1:7" s="2" customFormat="1" ht="24.6" customHeight="1">
      <c r="A11" s="13"/>
      <c r="B11" s="16" t="s">
        <v>178</v>
      </c>
      <c r="C11" s="14"/>
    </row>
    <row r="12" spans="1:7">
      <c r="C12" t="s">
        <v>179</v>
      </c>
    </row>
    <row r="13" spans="1:7" ht="15.6" customHeight="1">
      <c r="A13" s="1"/>
      <c r="B13" s="7" t="s">
        <v>178</v>
      </c>
      <c r="C13" s="12"/>
    </row>
    <row r="14" spans="1:7" ht="15.6" customHeight="1">
      <c r="A14" s="1"/>
      <c r="B14" s="7" t="s">
        <v>180</v>
      </c>
      <c r="C14" s="21"/>
      <c r="D14" s="22"/>
    </row>
    <row r="15" spans="1:7" ht="15.6" customHeight="1">
      <c r="A15" s="1"/>
      <c r="B15" s="7" t="s">
        <v>181</v>
      </c>
      <c r="C15" s="1"/>
    </row>
    <row r="16" spans="1:7" ht="15.6" customHeight="1">
      <c r="A16" s="1"/>
      <c r="B16" s="7" t="s">
        <v>182</v>
      </c>
      <c r="C16" s="22">
        <f>(1+C14)^C15</f>
        <v>1</v>
      </c>
    </row>
    <row r="19" spans="1:3" ht="24.6" customHeight="1">
      <c r="B19" s="17" t="s">
        <v>29</v>
      </c>
    </row>
    <row r="20" spans="1:3" ht="15.6" customHeight="1">
      <c r="A20" s="1"/>
      <c r="B20" s="7" t="s">
        <v>183</v>
      </c>
      <c r="C20" s="18">
        <v>0.03</v>
      </c>
    </row>
    <row r="21" spans="1:3" ht="15.6" customHeight="1">
      <c r="A21" s="1"/>
      <c r="B21" s="7" t="s">
        <v>184</v>
      </c>
      <c r="C21" s="18">
        <v>0.15</v>
      </c>
    </row>
    <row r="22" spans="1:3">
      <c r="C22" s="19"/>
    </row>
    <row r="23" spans="1:3" ht="24.6" customHeight="1">
      <c r="B23" s="16" t="s">
        <v>185</v>
      </c>
      <c r="C23" s="19"/>
    </row>
    <row r="24" spans="1:3">
      <c r="B24" t="s">
        <v>186</v>
      </c>
      <c r="C24" s="18">
        <v>0.02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sqref="A1:XFD1048576"/>
    </sheetView>
  </sheetViews>
  <sheetFormatPr baseColWidth="10" defaultRowHeight="26.4" customHeight="1"/>
  <sheetData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"/>
  <sheetViews>
    <sheetView topLeftCell="A5" workbookViewId="0">
      <selection activeCell="A5" sqref="A1:XFD1048576"/>
    </sheetView>
  </sheetViews>
  <sheetFormatPr baseColWidth="10" defaultColWidth="14.77734375" defaultRowHeight="14.4"/>
  <cols>
    <col min="7" max="16384" width="14.77734375" style="76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>
      <selection sqref="A1:XFD1048576"/>
    </sheetView>
  </sheetViews>
  <sheetFormatPr baseColWidth="10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6</vt:i4>
      </vt:variant>
    </vt:vector>
  </HeadingPairs>
  <TitlesOfParts>
    <vt:vector size="12" baseType="lpstr">
      <vt:lpstr>Prof&amp;LosT</vt:lpstr>
      <vt:lpstr>Estr Costos</vt:lpstr>
      <vt:lpstr>INDICES</vt:lpstr>
      <vt:lpstr>LISTA ORGANISMO</vt:lpstr>
      <vt:lpstr>MATERIALES </vt:lpstr>
      <vt:lpstr>MO</vt:lpstr>
      <vt:lpstr>BILLETE</vt:lpstr>
      <vt:lpstr>COMI1</vt:lpstr>
      <vt:lpstr>COMI2</vt:lpstr>
      <vt:lpstr>INFLACION</vt:lpstr>
      <vt:lpstr>LOG_SEG</vt:lpstr>
      <vt:lpstr>MARGEN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Hamra</dc:creator>
  <cp:lastModifiedBy>hernan hamra</cp:lastModifiedBy>
  <dcterms:created xsi:type="dcterms:W3CDTF">2015-06-05T18:17:20Z</dcterms:created>
  <dcterms:modified xsi:type="dcterms:W3CDTF">2026-02-15T16:21:26Z</dcterms:modified>
</cp:coreProperties>
</file>